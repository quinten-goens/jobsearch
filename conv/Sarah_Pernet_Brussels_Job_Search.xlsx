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&amp; Legend" sheetId="1" state="visible" r:id="rId3"/>
    <sheet name="Target List" sheetId="2" state="visible" r:id="rId4"/>
    <sheet name="Deadlines &amp; Actions" sheetId="3" state="visible" r:id="rId5"/>
    <sheet name="Job Boards &amp; Sources" sheetId="4" state="visible" r:id="rId6"/>
  </sheets>
  <definedNames>
    <definedName function="false" hidden="true" localSheetId="1" name="_xlnm._FilterDatabase" vbProcedure="false">'Target List'!$A$1:$R$283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<sst xmlns="http://schemas.openxmlformats.org/spreadsheetml/2006/main" count="3830" uniqueCount="1259">
  <si>
    <t xml:space="preserve">Sarah Pernet - Brussels Job Search Tracker</t>
  </si>
  <si>
    <t xml:space="preserve">Compiled 16 July 2026 | Communications specialist (6 yrs, Schaeffler Mexico) + MA Social &amp; Cultural Anthropology (KU Leuven, magna cum laude) + BA International Relations (Ibero Leon) | Belgian + Mexican nationality | EN, ES, FR, DE, PT, NL (limited)</t>
  </si>
  <si>
    <t xml:space="preserve">READ THIS FIRST - ABOUT THE LINKS</t>
  </si>
  <si>
    <t xml:space="preserve">Direct link</t>
  </si>
  <si>
    <t xml:space="preserve">The organisation's site or careers page, from Claude's knowledge. NOT fetched or verified live.</t>
  </si>
  <si>
    <t xml:space="preserve">Link confidence</t>
  </si>
  <si>
    <t xml:space="preserve">'High' = well-known domain, very likely correct. 'Check' = smaller org or a careers path I reconstructed. Expect some of these to be wrong or moved.</t>
  </si>
  <si>
    <t xml:space="preserve">Search link</t>
  </si>
  <si>
    <t xml:space="preserve">A pre-built Google search for that organisation's vacancies. This ALWAYS works and never rots. If the direct link fails, use this. It is the reliable column.</t>
  </si>
  <si>
    <t xml:space="preserve">Why both</t>
  </si>
  <si>
    <t xml:space="preserve">Careers pages move constantly. Real example: the direct link guessed for Protection International was /jobs/ - the actual page is /vacancies/. The search link would have found it either way.</t>
  </si>
  <si>
    <t xml:space="preserve">LEGEND</t>
  </si>
  <si>
    <t xml:space="preserve">Blue cells</t>
  </si>
  <si>
    <t xml:space="preserve">The only columns you edit: Checked, Status, Date applied, Contact, Your notes.</t>
  </si>
  <si>
    <t xml:space="preserve">Checked</t>
  </si>
  <si>
    <t xml:space="preserve">'Yes' = already named in the chat and reviewed by you. 'No' = added in the extension.</t>
  </si>
  <si>
    <t xml:space="preserve">Priority</t>
  </si>
  <si>
    <t xml:space="preserve">1 = apply now | 2 = second wave | 3 = watchlist.</t>
  </si>
  <si>
    <t xml:space="preserve">EU nat. required</t>
  </si>
  <si>
    <t xml:space="preserve">'Yes' = the Belgian passport is what unlocks it. 'No' = open to any nationality. 'Belgian' = Belgian specifically.</t>
  </si>
  <si>
    <t xml:space="preserve">Language edge</t>
  </si>
  <si>
    <t xml:space="preserve">The language that makes her competitive there - not the working language.</t>
  </si>
  <si>
    <t xml:space="preserve">COUNTS (live)</t>
  </si>
  <si>
    <t xml:space="preserve">Organisations listed</t>
  </si>
  <si>
    <t xml:space="preserve">Already checked by you</t>
  </si>
  <si>
    <t xml:space="preserve">New in the extension</t>
  </si>
  <si>
    <t xml:space="preserve">Priority 1 - apply now</t>
  </si>
  <si>
    <t xml:space="preserve">Priority 2</t>
  </si>
  <si>
    <t xml:space="preserve">Priority 3 - watchlist</t>
  </si>
  <si>
    <t xml:space="preserve">Direct links marked High confidence</t>
  </si>
  <si>
    <t xml:space="preserve">Direct links needing a check</t>
  </si>
  <si>
    <t xml:space="preserve">Not started</t>
  </si>
  <si>
    <t xml:space="preserve">Applied</t>
  </si>
  <si>
    <t xml:space="preserve">THE THREE THINGS THAT MATTER MOST</t>
  </si>
  <si>
    <t xml:space="preserve">1. Blue Book opens 22 July 2026, 10:00 Brussels; closes 4 September 2026, 10:00. Any discipline, &lt;6 weeks prior EU experience, EUR 1,538.16/month, ~1,000 posts. DG preferences + a specific motivation letter decide it.</t>
  </si>
  <si>
    <t xml:space="preserve">2. CAST Permanent - register this week, Communication profile. Free, open-ended, must be refreshed every 6 months or the profile goes invisible.</t>
  </si>
  <si>
    <t xml:space="preserve">3. Fix the LinkedIn headline. Three identities means a recruiter picks none. Lead with the paid function: 'Communications Specialist | Anthropologist | EN/ES/FR/DE'.</t>
  </si>
  <si>
    <t xml:space="preserve">ID</t>
  </si>
  <si>
    <t xml:space="preserve">Organisation</t>
  </si>
  <si>
    <t xml:space="preserve">Category</t>
  </si>
  <si>
    <t xml:space="preserve">Type</t>
  </si>
  <si>
    <t xml:space="preserve">Base / office</t>
  </si>
  <si>
    <t xml:space="preserve">Target roles</t>
  </si>
  <si>
    <t xml:space="preserve">Why it fits Sarah</t>
  </si>
  <si>
    <t xml:space="preserve">Status</t>
  </si>
  <si>
    <t xml:space="preserve">Date applied</t>
  </si>
  <si>
    <t xml:space="preserve">Contact</t>
  </si>
  <si>
    <t xml:space="preserve">Your notes</t>
  </si>
  <si>
    <t xml:space="preserve">Direct link (unverified)</t>
  </si>
  <si>
    <t xml:space="preserve">Search link (always works)</t>
  </si>
  <si>
    <t xml:space="preserve">Selor language exams (Article 7/12)</t>
  </si>
  <si>
    <t xml:space="preserve">Belgian public</t>
  </si>
  <si>
    <t xml:space="preserve">Certification</t>
  </si>
  <si>
    <t xml:space="preserve">Brussels</t>
  </si>
  <si>
    <t xml:space="preserve">N/A - certification</t>
  </si>
  <si>
    <t xml:space="preserve">Not a job. The Dutch certificate that unlocks the whole Belgian federal tier. Start autumn 2026.</t>
  </si>
  <si>
    <t xml:space="preserve">NL</t>
  </si>
  <si>
    <t xml:space="preserve">N/A</t>
  </si>
  <si>
    <t xml:space="preserve">No</t>
  </si>
  <si>
    <t xml:space="preserve">https://www.werkenvoor.be/en/language-certificates</t>
  </si>
  <si>
    <t xml:space="preserve">Check</t>
  </si>
  <si>
    <t xml:space="preserve">Search</t>
  </si>
  <si>
    <t xml:space="preserve">FPS Foreign Affairs (Belgium)</t>
  </si>
  <si>
    <t xml:space="preserve">Federal</t>
  </si>
  <si>
    <t xml:space="preserve">Diplomatic exam; JPD focal point; comms</t>
  </si>
  <si>
    <t xml:space="preserve">Belgian nationality required - now met. Also the gateway for the JPD national selection.</t>
  </si>
  <si>
    <t xml:space="preserve">FR/NL</t>
  </si>
  <si>
    <t xml:space="preserve">Belgian</t>
  </si>
  <si>
    <t xml:space="preserve">Yes</t>
  </si>
  <si>
    <t xml:space="preserve">https://diplomatie.belgium.be/en/jobs</t>
  </si>
  <si>
    <t xml:space="preserve">werkenvoor.be / travaillerpour.be</t>
  </si>
  <si>
    <t xml:space="preserve">Federal recruitment portal</t>
  </si>
  <si>
    <t xml:space="preserve">All federal roles</t>
  </si>
  <si>
    <t xml:space="preserve">Central Belgian federal recruitment. Selor language certification is the gating item.</t>
  </si>
  <si>
    <t xml:space="preserve">Belgian/EU</t>
  </si>
  <si>
    <t xml:space="preserve">https://www.werkenvoor.be</t>
  </si>
  <si>
    <t xml:space="preserve">High</t>
  </si>
  <si>
    <t xml:space="preserve">Actiris</t>
  </si>
  <si>
    <t xml:space="preserve">Regional</t>
  </si>
  <si>
    <t xml:space="preserve">Comms, diversity</t>
  </si>
  <si>
    <t xml:space="preserve">Brussels employment agency; DEI mandate.</t>
  </si>
  <si>
    <t xml:space="preserve">EU</t>
  </si>
  <si>
    <t xml:space="preserve">https://www.actiris.brussels</t>
  </si>
  <si>
    <t xml:space="preserve">COCOF (Commission communautaire francaise)</t>
  </si>
  <si>
    <t xml:space="preserve">Community commission</t>
  </si>
  <si>
    <t xml:space="preserve">Project, intercultural</t>
  </si>
  <si>
    <t xml:space="preserve">Francophone Brussels community commission - social and integration budgets.</t>
  </si>
  <si>
    <t xml:space="preserve">FR</t>
  </si>
  <si>
    <t xml:space="preserve">https://ccf.brussels</t>
  </si>
  <si>
    <t xml:space="preserve">Commune d'Evere</t>
  </si>
  <si>
    <t xml:space="preserve">Local</t>
  </si>
  <si>
    <t xml:space="preserve">Evere</t>
  </si>
  <si>
    <t xml:space="preserve">Social cohesion / integration officer</t>
  </si>
  <si>
    <t xml:space="preserve">Local social cohesion posts.</t>
  </si>
  <si>
    <t xml:space="preserve">https://www.evere.brussels</t>
  </si>
  <si>
    <t xml:space="preserve">Commune de Molenbeek-Saint-Jean</t>
  </si>
  <si>
    <t xml:space="preserve">Molenbeek</t>
  </si>
  <si>
    <t xml:space="preserve">Social cohesion posts; large migrant population.</t>
  </si>
  <si>
    <t xml:space="preserve">https://www.molenbeek.irisnet.be</t>
  </si>
  <si>
    <t xml:space="preserve">Commune de Saint-Josse-ten-Noode</t>
  </si>
  <si>
    <t xml:space="preserve">Saint-Josse</t>
  </si>
  <si>
    <t xml:space="preserve">https://www.stjosse.irisnet.be</t>
  </si>
  <si>
    <t xml:space="preserve">Commune de Schaerbeek</t>
  </si>
  <si>
    <t xml:space="preserve">Schaerbeek</t>
  </si>
  <si>
    <t xml:space="preserve">Social cohesion / integration officer posts. Francophone, grassroots.</t>
  </si>
  <si>
    <t xml:space="preserve">https://www.1030.be</t>
  </si>
  <si>
    <t xml:space="preserve">VGC (Vlaamse Gemeenschapscommissie)</t>
  </si>
  <si>
    <t xml:space="preserve">Flemish Brussels community commission. Dutch required.</t>
  </si>
  <si>
    <t xml:space="preserve">https://www.vgc.be</t>
  </si>
  <si>
    <t xml:space="preserve">talent.brussels</t>
  </si>
  <si>
    <t xml:space="preserve">Regional recruitment portal</t>
  </si>
  <si>
    <t xml:space="preserve">Brussels-Capital Region roles</t>
  </si>
  <si>
    <t xml:space="preserve">Bilingualism premium; FR/NL needed.</t>
  </si>
  <si>
    <t xml:space="preserve">https://talent.brussels</t>
  </si>
  <si>
    <t xml:space="preserve">ICF Next</t>
  </si>
  <si>
    <t xml:space="preserve">Comms contractors</t>
  </si>
  <si>
    <t xml:space="preserve">Agency</t>
  </si>
  <si>
    <t xml:space="preserve">Comms consultant</t>
  </si>
  <si>
    <t xml:space="preserve">Comms arm of ICF - apply to both.</t>
  </si>
  <si>
    <t xml:space="preserve">EN/ES</t>
  </si>
  <si>
    <t xml:space="preserve">https://www.icf.com/careers</t>
  </si>
  <si>
    <t xml:space="preserve">Mostra</t>
  </si>
  <si>
    <t xml:space="preserve">Comms consultant, campaign manager</t>
  </si>
  <si>
    <t xml:space="preserve">Long-running Commission campaign contractor.</t>
  </si>
  <si>
    <t xml:space="preserve">FR/EN/ES</t>
  </si>
  <si>
    <t xml:space="preserve">https://www.mostra.com</t>
  </si>
  <si>
    <t xml:space="preserve">Ogilvy Social.Lab</t>
  </si>
  <si>
    <t xml:space="preserve">Account/comms manager</t>
  </si>
  <si>
    <t xml:space="preserve">EU institutional campaigns + corporate. Her Schaeffler background reads well here.</t>
  </si>
  <si>
    <t xml:space="preserve">EN/FR</t>
  </si>
  <si>
    <t xml:space="preserve">https://www.ogilvy.com/be</t>
  </si>
  <si>
    <t xml:space="preserve">Tipik (Sword Group)</t>
  </si>
  <si>
    <t xml:space="preserve">Comms officer, editor, translator</t>
  </si>
  <si>
    <t xml:space="preserve">Major Commission comms/translation contractor. EN/ES/FR/DE is exactly the profile.</t>
  </si>
  <si>
    <t xml:space="preserve">EN/FR/ES/DE</t>
  </si>
  <si>
    <t xml:space="preserve">https://www.tipik.eu</t>
  </si>
  <si>
    <t xml:space="preserve">Burson (ex-Hill+Knowlton / BCW)</t>
  </si>
  <si>
    <t xml:space="preserve">Public affairs / PR</t>
  </si>
  <si>
    <t xml:space="preserve">Account manager</t>
  </si>
  <si>
    <t xml:space="preserve">Corporate comms background transfers directly.</t>
  </si>
  <si>
    <t xml:space="preserve">https://www.bursonglobal.com/careers/</t>
  </si>
  <si>
    <t xml:space="preserve">Cecoforma</t>
  </si>
  <si>
    <t xml:space="preserve">Liege / Brussels</t>
  </si>
  <si>
    <t xml:space="preserve">Event &amp; comms management</t>
  </si>
  <si>
    <t xml:space="preserve">Event management for EU institutions - she ran events at Schaeffler and MUN.</t>
  </si>
  <si>
    <t xml:space="preserve">FR/EN</t>
  </si>
  <si>
    <t xml:space="preserve">https://www.cecoforma.com</t>
  </si>
  <si>
    <t xml:space="preserve">Grayling Brussels</t>
  </si>
  <si>
    <t xml:space="preserve">https://grayling.com/careers/</t>
  </si>
  <si>
    <t xml:space="preserve">Acumen Public Affairs</t>
  </si>
  <si>
    <t xml:space="preserve">Public affairs</t>
  </si>
  <si>
    <t xml:space="preserve">Consultant</t>
  </si>
  <si>
    <t xml:space="preserve">https://www.acumenpa.com</t>
  </si>
  <si>
    <t xml:space="preserve">Aula Europe</t>
  </si>
  <si>
    <t xml:space="preserve">Comms/events</t>
  </si>
  <si>
    <t xml:space="preserve">EU comms and events contractor.</t>
  </si>
  <si>
    <t xml:space="preserve">https://www.aula-europe.eu</t>
  </si>
  <si>
    <t xml:space="preserve">Deloitte Digital EU</t>
  </si>
  <si>
    <t xml:space="preserve">Digital comms</t>
  </si>
  <si>
    <t xml:space="preserve">EN</t>
  </si>
  <si>
    <t xml:space="preserve">https://www.deloittedigital.com</t>
  </si>
  <si>
    <t xml:space="preserve">Edelman Brussels</t>
  </si>
  <si>
    <t xml:space="preserve">https://www.edelman.com/careers</t>
  </si>
  <si>
    <t xml:space="preserve">FTI Consulting Brussels</t>
  </si>
  <si>
    <t xml:space="preserve">https://fticonsulting.com/careers</t>
  </si>
  <si>
    <t xml:space="preserve">FleishmanHillard</t>
  </si>
  <si>
    <t xml:space="preserve">Senior account executive</t>
  </si>
  <si>
    <t xml:space="preserve">https://fleishmanhillard.be</t>
  </si>
  <si>
    <t xml:space="preserve">Instinctif Partners</t>
  </si>
  <si>
    <t xml:space="preserve">https://instinctif.com/careers/</t>
  </si>
  <si>
    <t xml:space="preserve">Interel</t>
  </si>
  <si>
    <t xml:space="preserve">https://www.interelgroup.com</t>
  </si>
  <si>
    <t xml:space="preserve">Kreab</t>
  </si>
  <si>
    <t xml:space="preserve">https://kreab.com/brussels/</t>
  </si>
  <si>
    <t xml:space="preserve">Rud Pedersen Public Affairs</t>
  </si>
  <si>
    <t xml:space="preserve">https://www.rudpedersen.com/careers</t>
  </si>
  <si>
    <t xml:space="preserve">Teneo / Cambre</t>
  </si>
  <si>
    <t xml:space="preserve">https://www.teneo.com/careers/</t>
  </si>
  <si>
    <t xml:space="preserve">Wavestone (ex-PwC EU Services)</t>
  </si>
  <si>
    <t xml:space="preserve">Consultancy</t>
  </si>
  <si>
    <t xml:space="preserve">https://www.wavestone.com/en/careers/</t>
  </si>
  <si>
    <t xml:space="preserve">Weber Shandwick Brussels</t>
  </si>
  <si>
    <t xml:space="preserve">https://webershandwick.com/careers/</t>
  </si>
  <si>
    <t xml:space="preserve">Intercultural training / DEI freelance</t>
  </si>
  <si>
    <t xml:space="preserve">Corporate &amp; training</t>
  </si>
  <si>
    <t xml:space="preserve">Freelance</t>
  </si>
  <si>
    <t xml:space="preserve">Trainer, facilitator, coach</t>
  </si>
  <si>
    <t xml:space="preserve">ICF Professional Certified Coach (PCC) + intercultural workshop design + 4 working languages. The most viable income bridge during the search.</t>
  </si>
  <si>
    <t xml:space="preserve">ES/FR/EN/DE</t>
  </si>
  <si>
    <t xml:space="preserve">https://coachingfederation.org</t>
  </si>
  <si>
    <t xml:space="preserve">Schaeffler - European operations</t>
  </si>
  <si>
    <t xml:space="preserve">Multinational</t>
  </si>
  <si>
    <t xml:space="preserve">Herzogenaurach / Europe</t>
  </si>
  <si>
    <t xml:space="preserve">Internal transfer - comms</t>
  </si>
  <si>
    <t xml:space="preserve">Six years of goodwill and a known track record. The cheapest possible move. Ask before anything else.</t>
  </si>
  <si>
    <t xml:space="preserve">DE/ES/EN</t>
  </si>
  <si>
    <t xml:space="preserve">https://www.schaeffler.com/en/careers/</t>
  </si>
  <si>
    <t xml:space="preserve">British School of Brussels (BSB)</t>
  </si>
  <si>
    <t xml:space="preserve">Education</t>
  </si>
  <si>
    <t xml:space="preserve">Tervuren</t>
  </si>
  <si>
    <t xml:space="preserve">Comms, admissions, DEI</t>
  </si>
  <si>
    <t xml:space="preserve">Comms/admissions roles in a multilingual school.</t>
  </si>
  <si>
    <t xml:space="preserve">Varies</t>
  </si>
  <si>
    <t xml:space="preserve">https://www.britishschool.be</t>
  </si>
  <si>
    <t xml:space="preserve">European Schools (Brussels I-IV)</t>
  </si>
  <si>
    <t xml:space="preserve">Recruited centrally via the Office of the Secretary-General. Spanish section teaching/admin.</t>
  </si>
  <si>
    <t xml:space="preserve">ES/FR</t>
  </si>
  <si>
    <t xml:space="preserve">https://www.eursc.eu/en/European-Schools/recruitment</t>
  </si>
  <si>
    <t xml:space="preserve">International School of Brussels (ISB)</t>
  </si>
  <si>
    <t xml:space="preserve">Watermael-Boitsfort</t>
  </si>
  <si>
    <t xml:space="preserve">Comms/admissions; DEI posts exist.</t>
  </si>
  <si>
    <t xml:space="preserve">https://www.isb.be</t>
  </si>
  <si>
    <t xml:space="preserve">Multinationals with Brussels/EU HQ (LatAm-facing)</t>
  </si>
  <si>
    <t xml:space="preserve">Corporate</t>
  </si>
  <si>
    <t xml:space="preserve">Internal comms, corporate affairs</t>
  </si>
  <si>
    <t xml:space="preserve">Her Schaeffler profile is directly transferable; Spanish-speaking market roles.</t>
  </si>
  <si>
    <t xml:space="preserve">ES/DE</t>
  </si>
  <si>
    <t xml:space="preserve">https://www.linkedin.com/jobs</t>
  </si>
  <si>
    <t xml:space="preserve">CNCD-11.11.11</t>
  </si>
  <si>
    <t xml:space="preserve">Development &amp; humanitarian</t>
  </si>
  <si>
    <t xml:space="preserve">NGO platform (FR)</t>
  </si>
  <si>
    <t xml:space="preserve">Comms, campaigns</t>
  </si>
  <si>
    <t xml:space="preserve">Francophone Belgian development platform.</t>
  </si>
  <si>
    <t xml:space="preserve">https://www.cncd.be</t>
  </si>
  <si>
    <t xml:space="preserve">MSF Operational Centre Brussels (OCB)</t>
  </si>
  <si>
    <t xml:space="preserve">NGO (operational HQ)</t>
  </si>
  <si>
    <t xml:space="preserve">Comms officer, field comms</t>
  </si>
  <si>
    <t xml:space="preserve">She already follows MSF Belgium on LinkedIn. Real operational HQ, not a liaison office. Spanish/French are field languages.</t>
  </si>
  <si>
    <t xml:space="preserve">https://www.msf-azg.be/en/jobs</t>
  </si>
  <si>
    <t xml:space="preserve">Oxfam EU Office</t>
  </si>
  <si>
    <t xml:space="preserve">NGO</t>
  </si>
  <si>
    <t xml:space="preserve">Comms, media</t>
  </si>
  <si>
    <t xml:space="preserve">https://www.oxfam.org/en/work-us</t>
  </si>
  <si>
    <t xml:space="preserve">WSM (Wereldsolidariteit / Solidarite Mondiale)</t>
  </si>
  <si>
    <t xml:space="preserve">NGO (Belgian)</t>
  </si>
  <si>
    <t xml:space="preserve">Comms, programme</t>
  </si>
  <si>
    <t xml:space="preserve">She already follows this page. Belgian, LatAm partner network, decent work &amp; social protection.</t>
  </si>
  <si>
    <t xml:space="preserve">ES/NL/FR</t>
  </si>
  <si>
    <t xml:space="preserve">https://www.wsm.be</t>
  </si>
  <si>
    <t xml:space="preserve">CONCORD Europe</t>
  </si>
  <si>
    <t xml:space="preserve">NGO confederation</t>
  </si>
  <si>
    <t xml:space="preserve">Comms, advocacy</t>
  </si>
  <si>
    <t xml:space="preserve">European development NGO confederation.</t>
  </si>
  <si>
    <t xml:space="preserve">EN/FR/ES</t>
  </si>
  <si>
    <t xml:space="preserve">https://concordeurope.org/vacancies/</t>
  </si>
  <si>
    <t xml:space="preserve">Enabel (Belgian Development Agency)</t>
  </si>
  <si>
    <t xml:space="preserve">Comms officer</t>
  </si>
  <si>
    <t xml:space="preserve">Belgian nationality is an advantage. Mostly Africa - but comms roles are HQ-based.</t>
  </si>
  <si>
    <t xml:space="preserve">Belgian/EU pref.</t>
  </si>
  <si>
    <t xml:space="preserve">https://www.enabel.be/jobs/</t>
  </si>
  <si>
    <t xml:space="preserve">Humanity &amp; Inclusion / Handicap International</t>
  </si>
  <si>
    <t xml:space="preserve">Comms</t>
  </si>
  <si>
    <t xml:space="preserve">Francophone HQ culture.</t>
  </si>
  <si>
    <t xml:space="preserve">FR/ES</t>
  </si>
  <si>
    <t xml:space="preserve">https://www.handicapinternational.be</t>
  </si>
  <si>
    <t xml:space="preserve">King Baudouin Foundation</t>
  </si>
  <si>
    <t xml:space="preserve">Foundation</t>
  </si>
  <si>
    <t xml:space="preserve">Project coordinator, comms</t>
  </si>
  <si>
    <t xml:space="preserve">Migration, social cohesion, DEI grants. Bilingual FR/NL culture.</t>
  </si>
  <si>
    <t xml:space="preserve">https://kbs-frb.be/en/jobs</t>
  </si>
  <si>
    <t xml:space="preserve">Medecins du Monde Belgique</t>
  </si>
  <si>
    <t xml:space="preserve">Francophone; LatAm missions.</t>
  </si>
  <si>
    <t xml:space="preserve">https://medecinsdumonde.be</t>
  </si>
  <si>
    <t xml:space="preserve">ONE Campaign Brussels</t>
  </si>
  <si>
    <t xml:space="preserve">Campaigns, comms</t>
  </si>
  <si>
    <t xml:space="preserve">Campaigning is her exact skill.</t>
  </si>
  <si>
    <t xml:space="preserve">https://www.one.org/international/careers/</t>
  </si>
  <si>
    <t xml:space="preserve">Oxfam Belgique / Belgie</t>
  </si>
  <si>
    <t xml:space="preserve">Belgian affiliate; LatAm programmes.</t>
  </si>
  <si>
    <t xml:space="preserve">FR/NL/ES</t>
  </si>
  <si>
    <t xml:space="preserve">https://www.oxfam.be/jobs</t>
  </si>
  <si>
    <t xml:space="preserve">Plan International EU Office</t>
  </si>
  <si>
    <t xml:space="preserve">Gender + child rights + LatAm.</t>
  </si>
  <si>
    <t xml:space="preserve">ES</t>
  </si>
  <si>
    <t xml:space="preserve">https://plan-international.org/eu/</t>
  </si>
  <si>
    <t xml:space="preserve">Save the Children Europe</t>
  </si>
  <si>
    <t xml:space="preserve">ES/EN</t>
  </si>
  <si>
    <t xml:space="preserve">https://www.savethechildren.net/careers</t>
  </si>
  <si>
    <t xml:space="preserve">Service Civil International (SCI) - International Secretariat</t>
  </si>
  <si>
    <t xml:space="preserve">Antwerp / Belgium</t>
  </si>
  <si>
    <t xml:space="preserve">Comms, volunteer coordination</t>
  </si>
  <si>
    <t xml:space="preserve">She has SCI history via the 'Manos por el Mundo' workcamp scholarship. Warm lead.</t>
  </si>
  <si>
    <t xml:space="preserve">EN/ES/FR</t>
  </si>
  <si>
    <t xml:space="preserve">https://www.sci.ngo</t>
  </si>
  <si>
    <t xml:space="preserve">Terre des Hommes EU Office</t>
  </si>
  <si>
    <t xml:space="preserve">Child rights; LatAm programmes.</t>
  </si>
  <si>
    <t xml:space="preserve">https://www.terredeshommes.org</t>
  </si>
  <si>
    <t xml:space="preserve">11.11.11</t>
  </si>
  <si>
    <t xml:space="preserve">NGO platform (NL)</t>
  </si>
  <si>
    <t xml:space="preserve">Dutch required.</t>
  </si>
  <si>
    <t xml:space="preserve">https://www.11.be</t>
  </si>
  <si>
    <t xml:space="preserve">Action Damien / Damiaanactie</t>
  </si>
  <si>
    <t xml:space="preserve">Belgian health NGO; LatAm presence. Bilingual FR/NL.</t>
  </si>
  <si>
    <t xml:space="preserve">https://www.actiondamien.be</t>
  </si>
  <si>
    <t xml:space="preserve">ActionAid EU</t>
  </si>
  <si>
    <t xml:space="preserve">Advocacy, comms</t>
  </si>
  <si>
    <t xml:space="preserve">https://actionaid.eu</t>
  </si>
  <si>
    <t xml:space="preserve">DGD (Belgian Development Cooperation, FPS Foreign Affairs)</t>
  </si>
  <si>
    <t xml:space="preserve">Belgian federal</t>
  </si>
  <si>
    <t xml:space="preserve">Policy/comms</t>
  </si>
  <si>
    <t xml:space="preserve">Belgian nationality.</t>
  </si>
  <si>
    <t xml:space="preserve">Echos Communication</t>
  </si>
  <si>
    <t xml:space="preserve">NGO (Belgian, FR)</t>
  </si>
  <si>
    <t xml:space="preserve">Intercultural training, comms</t>
  </si>
  <si>
    <t xml:space="preserve">Intercultural relations and development comms. Niche but precise fit.</t>
  </si>
  <si>
    <t xml:space="preserve">https://echoscommunication.org</t>
  </si>
  <si>
    <t xml:space="preserve">Fairtrade Belgium</t>
  </si>
  <si>
    <t xml:space="preserve">Belgian affiliate; comms and campaigns.</t>
  </si>
  <si>
    <t xml:space="preserve">https://www.fairtradebelgium.be</t>
  </si>
  <si>
    <t xml:space="preserve">Fairtrade International</t>
  </si>
  <si>
    <t xml:space="preserve">Bonn</t>
  </si>
  <si>
    <t xml:space="preserve">LatAm producer networks. German + Spanish.</t>
  </si>
  <si>
    <t xml:space="preserve">DE/ES</t>
  </si>
  <si>
    <t xml:space="preserve">https://www.fairtrade.net/about/careers</t>
  </si>
  <si>
    <t xml:space="preserve">Light for the World</t>
  </si>
  <si>
    <t xml:space="preserve">https://www.light-for-the-world.org/jobs/</t>
  </si>
  <si>
    <t xml:space="preserve">MSF Access Campaign</t>
  </si>
  <si>
    <t xml:space="preserve">Geneva / Brussels</t>
  </si>
  <si>
    <t xml:space="preserve">https://msfaccess.org</t>
  </si>
  <si>
    <t xml:space="preserve">Memisa</t>
  </si>
  <si>
    <t xml:space="preserve">Belgian health NGO.</t>
  </si>
  <si>
    <t xml:space="preserve">https://www.memisa.be</t>
  </si>
  <si>
    <t xml:space="preserve">Trocaire EU Office</t>
  </si>
  <si>
    <t xml:space="preserve">Advocacy</t>
  </si>
  <si>
    <t xml:space="preserve">LatAm programmes (Honduras, Guatemala, Colombia).</t>
  </si>
  <si>
    <t xml:space="preserve">https://www.trocaire.org/jobs/</t>
  </si>
  <si>
    <t xml:space="preserve">VOICE</t>
  </si>
  <si>
    <t xml:space="preserve">NGO network</t>
  </si>
  <si>
    <t xml:space="preserve">Humanitarian NGO network.</t>
  </si>
  <si>
    <t xml:space="preserve">https://voiceeu.org</t>
  </si>
  <si>
    <t xml:space="preserve">World Vision Brussels</t>
  </si>
  <si>
    <t xml:space="preserve">LatAm programmes.</t>
  </si>
  <si>
    <t xml:space="preserve">https://www.wveurope.org</t>
  </si>
  <si>
    <t xml:space="preserve">Blue Book Traineeship (European Commission)</t>
  </si>
  <si>
    <t xml:space="preserve">EU institutions</t>
  </si>
  <si>
    <t xml:space="preserve">Traineeship</t>
  </si>
  <si>
    <t xml:space="preserve">Brussels / Luxembourg</t>
  </si>
  <si>
    <t xml:space="preserve">Administrative traineeship - DG COMM, DG INTPA, DG HOME, EEAS</t>
  </si>
  <si>
    <t xml:space="preserve">5 months, ~1,000 posts, EUR 1,538.16/month. Degree in any discipline + &lt;6 weeks prior EU experience. Window 22 Jul - 4 Sep 2026.</t>
  </si>
  <si>
    <t xml:space="preserve">ES/FR/EN</t>
  </si>
  <si>
    <t xml:space="preserve">Yes (EU citizens)</t>
  </si>
  <si>
    <t xml:space="preserve">https://traineeships.ec.europa.eu</t>
  </si>
  <si>
    <t xml:space="preserve">CAST Permanent (EPSO)</t>
  </si>
  <si>
    <t xml:space="preserve">Contract agent database</t>
  </si>
  <si>
    <t xml:space="preserve">FG III / FG IV - profile: Communication; also Political affairs/EU policies</t>
  </si>
  <si>
    <t xml:space="preserve">Open-ended, no deadline. Register + refresh every 6 months or profile goes invisible. Fastest route into the institutions.</t>
  </si>
  <si>
    <t xml:space="preserve">https://eu-careers.europa.eu/en/job-opportunities/open-for-application</t>
  </si>
  <si>
    <t xml:space="preserve">DG COMM (European Commission)</t>
  </si>
  <si>
    <t xml:space="preserve">Directorate-General</t>
  </si>
  <si>
    <t xml:space="preserve">Communication officer, campaign management</t>
  </si>
  <si>
    <t xml:space="preserve">Her core function. Primary Blue Book preference.</t>
  </si>
  <si>
    <t xml:space="preserve">https://commission.europa.eu/about/departments-and-executive-agencies/communication_en</t>
  </si>
  <si>
    <t xml:space="preserve">DG INTPA (International Partnerships)</t>
  </si>
  <si>
    <t xml:space="preserve">Latin America unit, comms &amp; visibility</t>
  </si>
  <si>
    <t xml:space="preserve">Native Spanish + Mexico ground knowledge + comms. Strongest institutional match.</t>
  </si>
  <si>
    <t xml:space="preserve">https://international-partnerships.ec.europa.eu</t>
  </si>
  <si>
    <t xml:space="preserve">EEAS - Americas Division</t>
  </si>
  <si>
    <t xml:space="preserve">EU diplomatic service</t>
  </si>
  <si>
    <t xml:space="preserve">Press &amp; information, desk officer</t>
  </si>
  <si>
    <t xml:space="preserve">EU-Mexico, EU-CELAC, EU-Mercosur files.</t>
  </si>
  <si>
    <t xml:space="preserve">https://www.eeas.europa.eu/eeas/vacancies_en</t>
  </si>
  <si>
    <t xml:space="preserve">EU Delegation to Mexico</t>
  </si>
  <si>
    <t xml:space="preserve">EU Delegation</t>
  </si>
  <si>
    <t xml:space="preserve">Mexico City</t>
  </si>
  <si>
    <t xml:space="preserve">Press &amp; information officer; local agent</t>
  </si>
  <si>
    <t xml:space="preserve">Dual Belgian-Mexican nationality is close to unique here. Local agents are normally local nationals - she is both.</t>
  </si>
  <si>
    <t xml:space="preserve">Yes/dual</t>
  </si>
  <si>
    <t xml:space="preserve">https://www.eeas.europa.eu/mexico_en</t>
  </si>
  <si>
    <t xml:space="preserve">Junior Professionals in Delegation (JPD)</t>
  </si>
  <si>
    <t xml:space="preserve">High-level traineeship</t>
  </si>
  <si>
    <t xml:space="preserve">145 EU Delegations worldwide</t>
  </si>
  <si>
    <t xml:space="preserve">EEAS political/press/information OR EC international partnerships</t>
  </si>
  <si>
    <t xml:space="preserve">Min. 54 places, 2 per Member State, via Belgian national focal point. 12 months + 12 renewable. 2026-28 call closed Apr 2025 -&gt; next ~Apr 2027. EU Delegation to Mexico is the bespoke target.</t>
  </si>
  <si>
    <t xml:space="preserve">ES (native)</t>
  </si>
  <si>
    <t xml:space="preserve">https://www.eeas.europa.eu/eeas/call-expression-interest-junior-professionals-delegation-jpd-programme-2026-2028_en</t>
  </si>
  <si>
    <t xml:space="preserve">MEP offices - AFET committee members</t>
  </si>
  <si>
    <t xml:space="preserve">MEP office (APA)</t>
  </si>
  <si>
    <t xml:space="preserve">Accredited Parliamentary Assistant</t>
  </si>
  <si>
    <t xml:space="preserve">Foreign affairs. EU-CELAC, EU-Mercosur.</t>
  </si>
  <si>
    <t xml:space="preserve">https://www.europarl.europa.eu/committees/en/afet/home</t>
  </si>
  <si>
    <t xml:space="preserve">MEP offices - DEVE committee members</t>
  </si>
  <si>
    <t xml:space="preserve">Development committee. LatAm files.</t>
  </si>
  <si>
    <t xml:space="preserve">https://www.europarl.europa.eu/committees/en/deve/home</t>
  </si>
  <si>
    <t xml:space="preserve">MEP offices - DROI subcommittee members</t>
  </si>
  <si>
    <t xml:space="preserve">Human rights subcommittee. Colombia/Mexico rapporteurs.</t>
  </si>
  <si>
    <t xml:space="preserve">https://www.europarl.europa.eu/committees/en/droi/home</t>
  </si>
  <si>
    <t xml:space="preserve">MEP offices - LIBE committee members</t>
  </si>
  <si>
    <t xml:space="preserve">Civil liberties, justice and home affairs - the migration committee. Target Spanish and French members.</t>
  </si>
  <si>
    <t xml:space="preserve">https://www.europarl.europa.eu/committees/en/libe/home</t>
  </si>
  <si>
    <t xml:space="preserve">DG ECHO (Humanitarian Aid)</t>
  </si>
  <si>
    <t xml:space="preserve">Comms, field support</t>
  </si>
  <si>
    <t xml:space="preserve">Humanitarian angle.</t>
  </si>
  <si>
    <t xml:space="preserve">https://civil-protection-humanitarian-aid.ec.europa.eu</t>
  </si>
  <si>
    <t xml:space="preserve">DG HOME</t>
  </si>
  <si>
    <t xml:space="preserve">Migration policy, comms</t>
  </si>
  <si>
    <t xml:space="preserve">Aligns with migration interest and network.</t>
  </si>
  <si>
    <t xml:space="preserve">https://home-affairs.ec.europa.eu</t>
  </si>
  <si>
    <t xml:space="preserve">European Parliament - Greens/EFA</t>
  </si>
  <si>
    <t xml:space="preserve">Political group</t>
  </si>
  <si>
    <t xml:space="preserve">Press officer, comms adviser</t>
  </si>
  <si>
    <t xml:space="preserve">Direct hire, no concours.</t>
  </si>
  <si>
    <t xml:space="preserve">https://www.greens-efa.eu/en/jobs</t>
  </si>
  <si>
    <t xml:space="preserve">European Parliament - S&amp;D Group</t>
  </si>
  <si>
    <t xml:space="preserve">Social justice alignment. Group secretariats hire directly.</t>
  </si>
  <si>
    <t xml:space="preserve">https://www.socialistsanddemocrats.eu/vacancies</t>
  </si>
  <si>
    <t xml:space="preserve">European Parliament - Schuman Traineeship</t>
  </si>
  <si>
    <t xml:space="preserve">Comms, research</t>
  </si>
  <si>
    <t xml:space="preserve">Parliament's equivalent of Blue Book. Two intakes per year.</t>
  </si>
  <si>
    <t xml:space="preserve">https://www.europarl.europa.eu/traineeships/en/</t>
  </si>
  <si>
    <t xml:space="preserve">European Parliament - The Left (GUE/NGL)</t>
  </si>
  <si>
    <t xml:space="preserve">Strong LatAm files; Spanish heavily used.</t>
  </si>
  <si>
    <t xml:space="preserve">https://left.eu/vacancies/</t>
  </si>
  <si>
    <t xml:space="preserve">DG SANTE</t>
  </si>
  <si>
    <t xml:space="preserve">Health comms</t>
  </si>
  <si>
    <t xml:space="preserve">Medical anthropology angle.</t>
  </si>
  <si>
    <t xml:space="preserve">https://health.ec.europa.eu</t>
  </si>
  <si>
    <t xml:space="preserve">EIGE (European Institute for Gender Equality)</t>
  </si>
  <si>
    <t xml:space="preserve">EU agency</t>
  </si>
  <si>
    <t xml:space="preserve">Vilnius</t>
  </si>
  <si>
    <t xml:space="preserve">Research, comms</t>
  </si>
  <si>
    <t xml:space="preserve">Gender - direct Colectiva Sorelle continuity. Vilnius-based.</t>
  </si>
  <si>
    <t xml:space="preserve">https://eige.europa.eu/about/recruitment</t>
  </si>
  <si>
    <t xml:space="preserve">EPSO - International affairs specialists competition</t>
  </si>
  <si>
    <t xml:space="preserve">Open competition</t>
  </si>
  <si>
    <t xml:space="preserve">AD specialist</t>
  </si>
  <si>
    <t xml:space="preserve">Pushed by EPSO to 2027. Watch eu-careers.europa.eu.</t>
  </si>
  <si>
    <t xml:space="preserve">https://eu-careers.europa.eu/en/job-opportunities/upcoming-opportunities</t>
  </si>
  <si>
    <t xml:space="preserve">EPSO AD5 Graduates</t>
  </si>
  <si>
    <t xml:space="preserve">AD5 generalist</t>
  </si>
  <si>
    <t xml:space="preserve">2026 round closed 10 Mar 2026 (174,727 applicants / 1,490 places). Next round unknown - previous gap was 7 years.</t>
  </si>
  <si>
    <t xml:space="preserve">https://eu-careers.europa.eu</t>
  </si>
  <si>
    <t xml:space="preserve">EU Agency for Fundamental Rights (FRA)</t>
  </si>
  <si>
    <t xml:space="preserve">Vienna</t>
  </si>
  <si>
    <t xml:space="preserve">Qualitative social research on rights - strong methods fit. Vienna-based, so relocation.</t>
  </si>
  <si>
    <t xml:space="preserve">https://fra.europa.eu/en/about-fra/recruitment</t>
  </si>
  <si>
    <t xml:space="preserve">EU Delegation to Colombia</t>
  </si>
  <si>
    <t xml:space="preserve">Bogota</t>
  </si>
  <si>
    <t xml:space="preserve">Press &amp; information</t>
  </si>
  <si>
    <t xml:space="preserve">Same logic, second LatAm option.</t>
  </si>
  <si>
    <t xml:space="preserve">https://www.eeas.europa.eu/colombia_en</t>
  </si>
  <si>
    <t xml:space="preserve">EUAA (EU Agency for Asylum)</t>
  </si>
  <si>
    <t xml:space="preserve">Malta + Brussels liaison</t>
  </si>
  <si>
    <t xml:space="preserve">Asylum agency; Brussels liaison office.</t>
  </si>
  <si>
    <t xml:space="preserve">https://euaa.europa.eu/careers</t>
  </si>
  <si>
    <t xml:space="preserve">European Parliament - EPP Group</t>
  </si>
  <si>
    <t xml:space="preserve">Comms adviser</t>
  </si>
  <si>
    <t xml:space="preserve">Direct hire.</t>
  </si>
  <si>
    <t xml:space="preserve">https://www.eppgroup.eu</t>
  </si>
  <si>
    <t xml:space="preserve">European Parliament - EPRS</t>
  </si>
  <si>
    <t xml:space="preserve">Research service</t>
  </si>
  <si>
    <t xml:space="preserve">Research/comms officer</t>
  </si>
  <si>
    <t xml:space="preserve">EP's in-house research service.</t>
  </si>
  <si>
    <t xml:space="preserve">https://www.europarl.europa.eu/thinktank/en/home</t>
  </si>
  <si>
    <t xml:space="preserve">European Parliament - Renew Europe</t>
  </si>
  <si>
    <t xml:space="preserve">https://www.reneweuropegroup.eu</t>
  </si>
  <si>
    <t xml:space="preserve">Frontex</t>
  </si>
  <si>
    <t xml:space="preserve">Warsaw + Brussels liaison</t>
  </si>
  <si>
    <t xml:space="preserve">Comms, fundamental rights</t>
  </si>
  <si>
    <t xml:space="preserve">Brussels liaison office.</t>
  </si>
  <si>
    <t xml:space="preserve">https://frontex.europa.eu/careers/</t>
  </si>
  <si>
    <t xml:space="preserve">Publications Office / EU Newsroom</t>
  </si>
  <si>
    <t xml:space="preserve">EU body</t>
  </si>
  <si>
    <t xml:space="preserve">Luxembourg</t>
  </si>
  <si>
    <t xml:space="preserve">Editorial, comms</t>
  </si>
  <si>
    <t xml:space="preserve">Multilingual editorial work.</t>
  </si>
  <si>
    <t xml:space="preserve">https://op.europa.eu</t>
  </si>
  <si>
    <t xml:space="preserve">EPHA (European Public Health Alliance)</t>
  </si>
  <si>
    <t xml:space="preserve">Health</t>
  </si>
  <si>
    <t xml:space="preserve">Comms, policy</t>
  </si>
  <si>
    <t xml:space="preserve">https://epha.org/vacancies/</t>
  </si>
  <si>
    <t xml:space="preserve">Global Health Advocates</t>
  </si>
  <si>
    <t xml:space="preserve">Francophone-linked.</t>
  </si>
  <si>
    <t xml:space="preserve">https://www.ghadvocates.eu</t>
  </si>
  <si>
    <t xml:space="preserve">Institute of Tropical Medicine (ITM)</t>
  </si>
  <si>
    <t xml:space="preserve">Research institute</t>
  </si>
  <si>
    <t xml:space="preserve">Antwerp</t>
  </si>
  <si>
    <t xml:space="preserve">Comms, research support, project</t>
  </si>
  <si>
    <t xml:space="preserve">Global health with LatAm partnerships. Medical anthropology is an actual discipline there.</t>
  </si>
  <si>
    <t xml:space="preserve">ES/NL</t>
  </si>
  <si>
    <t xml:space="preserve">https://www.itg.be/E/vacancies</t>
  </si>
  <si>
    <t xml:space="preserve">European Patients' Forum</t>
  </si>
  <si>
    <t xml:space="preserve">Patient experience - qualitative research relevance.</t>
  </si>
  <si>
    <t xml:space="preserve">https://www.eu-patient.eu</t>
  </si>
  <si>
    <t xml:space="preserve">Mental Health Europe</t>
  </si>
  <si>
    <t xml:space="preserve">https://www.mhe-sme.org</t>
  </si>
  <si>
    <t xml:space="preserve">Sciensano</t>
  </si>
  <si>
    <t xml:space="preserve">Belgian public health institute.</t>
  </si>
  <si>
    <t xml:space="preserve">https://www.sciensano.be/en/jobs</t>
  </si>
  <si>
    <t xml:space="preserve">Amnesty International EU Office</t>
  </si>
  <si>
    <t xml:space="preserve">Human rights &amp; gender</t>
  </si>
  <si>
    <t xml:space="preserve">Comms, media, campaigns</t>
  </si>
  <si>
    <t xml:space="preserve">https://www.amnesty.eu/jobs/</t>
  </si>
  <si>
    <t xml:space="preserve">EAPN (European Anti-Poverty Network)</t>
  </si>
  <si>
    <t xml:space="preserve">LinkedIn already surfaced this to her - treat the algorithm's hint as a signal.</t>
  </si>
  <si>
    <t xml:space="preserve">https://www.eapn.eu</t>
  </si>
  <si>
    <t xml:space="preserve">European Women's Lobby</t>
  </si>
  <si>
    <t xml:space="preserve">Direct Colectiva Sorelle continuity.</t>
  </si>
  <si>
    <t xml:space="preserve">https://womenlobby.org</t>
  </si>
  <si>
    <t xml:space="preserve">FIDH EU Office</t>
  </si>
  <si>
    <t xml:space="preserve">Strong LatAm portfolio; francophone.</t>
  </si>
  <si>
    <t xml:space="preserve">https://www.fidh.org/en/get-involved/join-us/</t>
  </si>
  <si>
    <t xml:space="preserve">ProtectDefenders.eu</t>
  </si>
  <si>
    <t xml:space="preserve">EU mechanism</t>
  </si>
  <si>
    <t xml:space="preserve">Programmes officer/fellow - support &amp; protection</t>
  </si>
  <si>
    <t xml:space="preserve">The EU Human Rights Defenders Mechanism, implemented by an international civil society consortium. Postings explicitly ask for English plus Spanish/French/Arabic/Russian. Found via live search - was not on the earlier list.</t>
  </si>
  <si>
    <t xml:space="preserve">https://protectdefenders.eu</t>
  </si>
  <si>
    <t xml:space="preserve">Amnesty International Belgique francophone</t>
  </si>
  <si>
    <t xml:space="preserve">Francophone Belgian section - separate hiring.</t>
  </si>
  <si>
    <t xml:space="preserve">https://www.amnesty.be</t>
  </si>
  <si>
    <t xml:space="preserve">ENAR (European Network Against Racism)</t>
  </si>
  <si>
    <t xml:space="preserve">DEI + anti-racism.</t>
  </si>
  <si>
    <t xml:space="preserve">https://www.enar-eu.org</t>
  </si>
  <si>
    <t xml:space="preserve">Front Line Defenders - EU Office</t>
  </si>
  <si>
    <t xml:space="preserve">Human rights defenders; overlaps Protection International.</t>
  </si>
  <si>
    <t xml:space="preserve">https://www.frontlinedefenders.org/en/vacancies</t>
  </si>
  <si>
    <t xml:space="preserve">Human Rights Watch Brussels</t>
  </si>
  <si>
    <t xml:space="preserve">LatAm division links.</t>
  </si>
  <si>
    <t xml:space="preserve">https://www.hrw.org/careers</t>
  </si>
  <si>
    <t xml:space="preserve">ILGA-Europe</t>
  </si>
  <si>
    <t xml:space="preserve">https://www.ilga-europe.org/who-we-are/jobs/</t>
  </si>
  <si>
    <t xml:space="preserve">IPPF European Network</t>
  </si>
  <si>
    <t xml:space="preserve">SRHR; strong LatAm sister federation.</t>
  </si>
  <si>
    <t xml:space="preserve">https://www.ippfen.org</t>
  </si>
  <si>
    <t xml:space="preserve">Institut pour l'egalite des femmes et des hommes</t>
  </si>
  <si>
    <t xml:space="preserve">Comms, project</t>
  </si>
  <si>
    <t xml:space="preserve">Belgian federal gender institute. Belgian nationality qualifies.</t>
  </si>
  <si>
    <t xml:space="preserve">https://igvm-iefh.belgium.be</t>
  </si>
  <si>
    <t xml:space="preserve">OMCT Europe (World Organisation Against Torture)</t>
  </si>
  <si>
    <t xml:space="preserve">Brussels / Geneva</t>
  </si>
  <si>
    <t xml:space="preserve">Human rights officer, comms</t>
  </si>
  <si>
    <t xml:space="preserve">Largest international anti-torture coalition; runs a Human Rights Defenders Programme from its Brussels office and is a ProtectDefenders.eu member. Found via live search.</t>
  </si>
  <si>
    <t xml:space="preserve">https://www.omct.org</t>
  </si>
  <si>
    <t xml:space="preserve">Open Society European Policy Institute</t>
  </si>
  <si>
    <t xml:space="preserve">https://www.opensocietyfoundations.org/careers</t>
  </si>
  <si>
    <t xml:space="preserve">Reporters Without Borders (RSF)</t>
  </si>
  <si>
    <t xml:space="preserve">Brussels / Paris</t>
  </si>
  <si>
    <t xml:space="preserve">Press freedom; Mexico is one of its most-covered countries.</t>
  </si>
  <si>
    <t xml:space="preserve">https://rsf.org</t>
  </si>
  <si>
    <t xml:space="preserve">Social Platform</t>
  </si>
  <si>
    <t xml:space="preserve">Social justice umbrella.</t>
  </si>
  <si>
    <t xml:space="preserve">https://www.socialplatform.org</t>
  </si>
  <si>
    <t xml:space="preserve">Vie Feminine</t>
  </si>
  <si>
    <t xml:space="preserve">NGO (Brussels, FR)</t>
  </si>
  <si>
    <t xml:space="preserve">Campaigns, training</t>
  </si>
  <si>
    <t xml:space="preserve">Francophone Belgian feminist movement - closest thing to Colectiva Sorelle in Belgium.</t>
  </si>
  <si>
    <t xml:space="preserve">https://www.viefeminine.be</t>
  </si>
  <si>
    <t xml:space="preserve">AGE Platform Europe</t>
  </si>
  <si>
    <t xml:space="preserve">https://www.age-platform.eu</t>
  </si>
  <si>
    <t xml:space="preserve">Amazone asbl</t>
  </si>
  <si>
    <t xml:space="preserve">NGO (Brussels)</t>
  </si>
  <si>
    <t xml:space="preserve">Coordination, comms</t>
  </si>
  <si>
    <t xml:space="preserve">Brussels gender resource centre; bilingual.</t>
  </si>
  <si>
    <t xml:space="preserve">https://amazone.be</t>
  </si>
  <si>
    <t xml:space="preserve">BePax</t>
  </si>
  <si>
    <t xml:space="preserve">Training, comms</t>
  </si>
  <si>
    <t xml:space="preserve">Peace + anti-racism education.</t>
  </si>
  <si>
    <t xml:space="preserve">https://www.bepax.org</t>
  </si>
  <si>
    <t xml:space="preserve">ERGO Network</t>
  </si>
  <si>
    <t xml:space="preserve">Roma grassroots.</t>
  </si>
  <si>
    <t xml:space="preserve">https://ergonetwork.org</t>
  </si>
  <si>
    <t xml:space="preserve">Equinet</t>
  </si>
  <si>
    <t xml:space="preserve">Equality bodies network.</t>
  </si>
  <si>
    <t xml:space="preserve">https://equineteurope.org</t>
  </si>
  <si>
    <t xml:space="preserve">Eurochild</t>
  </si>
  <si>
    <t xml:space="preserve">https://eurochild.org/vacancies/</t>
  </si>
  <si>
    <t xml:space="preserve">European Disability Forum</t>
  </si>
  <si>
    <t xml:space="preserve">https://www.edf-feph.org</t>
  </si>
  <si>
    <t xml:space="preserve">European Roma Rights Centre</t>
  </si>
  <si>
    <t xml:space="preserve">http://www.errc.org</t>
  </si>
  <si>
    <t xml:space="preserve">FEANTSA</t>
  </si>
  <si>
    <t xml:space="preserve">Homelessness.</t>
  </si>
  <si>
    <t xml:space="preserve">https://www.feantsa.org</t>
  </si>
  <si>
    <t xml:space="preserve">Fair Trials</t>
  </si>
  <si>
    <t xml:space="preserve">Brussels / London</t>
  </si>
  <si>
    <t xml:space="preserve">Criminal justice rights.</t>
  </si>
  <si>
    <t xml:space="preserve">https://www.fairtrials.org/jobs/</t>
  </si>
  <si>
    <t xml:space="preserve">Global Witness</t>
  </si>
  <si>
    <t xml:space="preserve">Land and environmental defenders - heavy LatAm caseload.</t>
  </si>
  <si>
    <t xml:space="preserve">https://www.globalwitness.org/en/jobs/</t>
  </si>
  <si>
    <t xml:space="preserve">MRAX</t>
  </si>
  <si>
    <t xml:space="preserve">Comms, anti-racism</t>
  </si>
  <si>
    <t xml:space="preserve">Francophone Brussels anti-racism.</t>
  </si>
  <si>
    <t xml:space="preserve">https://www.mrax.be</t>
  </si>
  <si>
    <t xml:space="preserve">IOM - Regional Office Brussels</t>
  </si>
  <si>
    <t xml:space="preserve">International org</t>
  </si>
  <si>
    <t xml:space="preserve">UN-related</t>
  </si>
  <si>
    <t xml:space="preserve">Comms, project support</t>
  </si>
  <si>
    <t xml:space="preserve">Migration + Spanish.</t>
  </si>
  <si>
    <t xml:space="preserve">https://www.iom.int/careers</t>
  </si>
  <si>
    <t xml:space="preserve">NATO HQ - Public Diplomacy Division</t>
  </si>
  <si>
    <t xml:space="preserve">Intergovernmental</t>
  </si>
  <si>
    <t xml:space="preserve">Brussels (Evere)</t>
  </si>
  <si>
    <t xml:space="preserve">Press &amp; media, public diplomacy, translation</t>
  </si>
  <si>
    <t xml:space="preserve">Member-state nationality now met via Belgian passport. Comms is the core function. Local.</t>
  </si>
  <si>
    <t xml:space="preserve">Yes (member state)</t>
  </si>
  <si>
    <t xml:space="preserve">https://www.nato.int/cps/en/natohq/recruitment.htm</t>
  </si>
  <si>
    <t xml:space="preserve">UNHCR - Representation to the EU</t>
  </si>
  <si>
    <t xml:space="preserve">UN</t>
  </si>
  <si>
    <t xml:space="preserve">Migration/asylum.</t>
  </si>
  <si>
    <t xml:space="preserve">https://www.unhcr.org/careers</t>
  </si>
  <si>
    <t xml:space="preserve">ICRC - Delegation to the EU/NATO</t>
  </si>
  <si>
    <t xml:space="preserve">Humanitarian</t>
  </si>
  <si>
    <t xml:space="preserve">Comms, humanitarian diplomacy</t>
  </si>
  <si>
    <t xml:space="preserve">https://www.icrc.org/en/careers</t>
  </si>
  <si>
    <t xml:space="preserve">OHCHR - Europe Regional Office</t>
  </si>
  <si>
    <t xml:space="preserve">Human rights, comms</t>
  </si>
  <si>
    <t xml:space="preserve">Human rights + Spanish. Verify current Brussels presence.</t>
  </si>
  <si>
    <t xml:space="preserve">https://www.ohchr.org/en/work-with-us</t>
  </si>
  <si>
    <t xml:space="preserve">UN Women Brussels</t>
  </si>
  <si>
    <t xml:space="preserve">Direct gender-advocacy continuity.</t>
  </si>
  <si>
    <t xml:space="preserve">https://www.unwomen.org/en/about-us/employment</t>
  </si>
  <si>
    <t xml:space="preserve">UNDP Brussels</t>
  </si>
  <si>
    <t xml:space="preserve">Comms, partnerships</t>
  </si>
  <si>
    <t xml:space="preserve">LatAm portfolio.</t>
  </si>
  <si>
    <t xml:space="preserve">https://jobs.undp.org</t>
  </si>
  <si>
    <t xml:space="preserve">UNICEF Brussels</t>
  </si>
  <si>
    <t xml:space="preserve">Child rights + LatAm programmes.</t>
  </si>
  <si>
    <t xml:space="preserve">https://www.unicef.org/careers</t>
  </si>
  <si>
    <t xml:space="preserve">UNRIC (UN Regional Information Centre)</t>
  </si>
  <si>
    <t xml:space="preserve">Information/comms officer</t>
  </si>
  <si>
    <t xml:space="preserve">UN's Western Europe comms hub - multilingual by design.</t>
  </si>
  <si>
    <t xml:space="preserve">https://unric.org</t>
  </si>
  <si>
    <t xml:space="preserve">Council of Europe - Liaison Office</t>
  </si>
  <si>
    <t xml:space="preserve">https://www.coe.int/en/web/jobs</t>
  </si>
  <si>
    <t xml:space="preserve">FAO Liaison Office</t>
  </si>
  <si>
    <t xml:space="preserve">Rural LatAm programmes.</t>
  </si>
  <si>
    <t xml:space="preserve">https://www.fao.org/employment</t>
  </si>
  <si>
    <t xml:space="preserve">IFRC Europe / Brussels</t>
  </si>
  <si>
    <t xml:space="preserve">https://www.ifrc.org/jobs</t>
  </si>
  <si>
    <t xml:space="preserve">ILO Office for the EU</t>
  </si>
  <si>
    <t xml:space="preserve">Decent work agenda - overlaps WSM.</t>
  </si>
  <si>
    <t xml:space="preserve">https://www.ilo.org/brussels</t>
  </si>
  <si>
    <t xml:space="preserve">NATO HQ - Emerging Security Challenges</t>
  </si>
  <si>
    <t xml:space="preserve">Officer roles</t>
  </si>
  <si>
    <t xml:space="preserve">Same eligibility.</t>
  </si>
  <si>
    <t xml:space="preserve">OCHA Brussels (Liaison)</t>
  </si>
  <si>
    <t xml:space="preserve">https://www.unocha.org/careers</t>
  </si>
  <si>
    <t xml:space="preserve">UNESCO Liaison Office</t>
  </si>
  <si>
    <t xml:space="preserve">Culture, comms</t>
  </si>
  <si>
    <t xml:space="preserve">Anthropology/heritage angle.</t>
  </si>
  <si>
    <t xml:space="preserve">https://careers.unesco.org</t>
  </si>
  <si>
    <t xml:space="preserve">UNFPA Brussels</t>
  </si>
  <si>
    <t xml:space="preserve">https://www.unfpa.org/jobs</t>
  </si>
  <si>
    <t xml:space="preserve">WFP Brussels</t>
  </si>
  <si>
    <t xml:space="preserve">https://www.wfp.org/careers</t>
  </si>
  <si>
    <t xml:space="preserve">World Bank - Brussels Office</t>
  </si>
  <si>
    <t xml:space="preserve">IFI</t>
  </si>
  <si>
    <t xml:space="preserve">https://www.worldbank.org/en/about/careers</t>
  </si>
  <si>
    <t xml:space="preserve">Broederlijk Delen</t>
  </si>
  <si>
    <t xml:space="preserve">Latin America</t>
  </si>
  <si>
    <t xml:space="preserve">Comms, programme officer</t>
  </si>
  <si>
    <t xml:space="preserve">Bolivia, Peru, Guatemala, Colombia, Brazil programmes. Dutch useful but Spanish essential.</t>
  </si>
  <si>
    <t xml:space="preserve">https://www.broederlijkdelen.be/nl/vacatures</t>
  </si>
  <si>
    <t xml:space="preserve">CIFCA (Copenhagen Initiative for Central America and Mexico)</t>
  </si>
  <si>
    <t xml:space="preserve">Advocacy network</t>
  </si>
  <si>
    <t xml:space="preserve">Advocacy officer</t>
  </si>
  <si>
    <t xml:space="preserve">Mexico and Central America advocacy toward the EU. Verify current staffing.</t>
  </si>
  <si>
    <t xml:space="preserve">https://cifca.org</t>
  </si>
  <si>
    <t xml:space="preserve">Embassy of Mexico in Belgium</t>
  </si>
  <si>
    <t xml:space="preserve">Diplomatic</t>
  </si>
  <si>
    <t xml:space="preserve">Press, culture, comms</t>
  </si>
  <si>
    <t xml:space="preserve">Same.</t>
  </si>
  <si>
    <t xml:space="preserve">No (Mexican)</t>
  </si>
  <si>
    <t xml:space="preserve">https://embamex.sre.gob.mx/belgica/</t>
  </si>
  <si>
    <t xml:space="preserve">Entraide et Fraternite</t>
  </si>
  <si>
    <t xml:space="preserve">Francophone Belgian NGO with LatAm programmes.</t>
  </si>
  <si>
    <t xml:space="preserve">https://entraide.be</t>
  </si>
  <si>
    <t xml:space="preserve">Le Monde selon les Femmes</t>
  </si>
  <si>
    <t xml:space="preserve">Trainer, comms, gender &amp; development</t>
  </si>
  <si>
    <t xml:space="preserve">Gender + development + francophone + LatAm partners. Direct continuity with Colectiva Sorelle.</t>
  </si>
  <si>
    <t xml:space="preserve">https://www.mondefemmes.org</t>
  </si>
  <si>
    <t xml:space="preserve">Mexican Mission to the EU</t>
  </si>
  <si>
    <t xml:space="preserve">Press &amp; cultural officer (local recruitment)</t>
  </si>
  <si>
    <t xml:space="preserve">Dual national. Locally recruited press/culture posts.</t>
  </si>
  <si>
    <t xml:space="preserve">https://www.gob.mx/sre</t>
  </si>
  <si>
    <t xml:space="preserve">OIDHACO (Oficina Internacional de Derechos Humanos - Accion Colombia)</t>
  </si>
  <si>
    <t xml:space="preserve">Advocacy/comms officer</t>
  </si>
  <si>
    <t xml:space="preserve">Brussels-based, Spanish-working, Colombia focus.</t>
  </si>
  <si>
    <t xml:space="preserve">https://www.oidhaco.org</t>
  </si>
  <si>
    <t xml:space="preserve">Peace Brigades International - European Office</t>
  </si>
  <si>
    <t xml:space="preserve">Colombia, Mexico, Honduras, Guatemala accompaniment.</t>
  </si>
  <si>
    <t xml:space="preserve">https://www.peacebrigades.org</t>
  </si>
  <si>
    <t xml:space="preserve">Protection International</t>
  </si>
  <si>
    <t xml:space="preserve">NGO (HQ Brussels)</t>
  </si>
  <si>
    <t xml:space="preserve">Brussels HQ (founded 1998 as PBI's European office, renamed 2007). Permanent presence in Colombia, Guatemala, DR Congo, Kenya, Thailand + ~30 more countries via partners. Spanish-working, comms/advocacy roles. NOTE: no spontaneous applications - only advertised vacancies.</t>
  </si>
  <si>
    <t xml:space="preserve">https://www.protectioninternational.org/vacancies/</t>
  </si>
  <si>
    <t xml:space="preserve">Verified</t>
  </si>
  <si>
    <t xml:space="preserve">Rikolto (ex-Vredeseilanden)</t>
  </si>
  <si>
    <t xml:space="preserve">Leuven / Brussels</t>
  </si>
  <si>
    <t xml:space="preserve">Ecuador, Peru, Nicaragua, Honduras. KU Leuven-adjacent.</t>
  </si>
  <si>
    <t xml:space="preserve">https://www.rikolto.org/jobs</t>
  </si>
  <si>
    <t xml:space="preserve">SOS Faim</t>
  </si>
  <si>
    <t xml:space="preserve">Comms, project officer</t>
  </si>
  <si>
    <t xml:space="preserve">Bolivia, Peru, Ecuador. Francophone + Spanish.</t>
  </si>
  <si>
    <t xml:space="preserve">https://www.sosfaim.be</t>
  </si>
  <si>
    <t xml:space="preserve">Wallonie-Bruxelles International (WBI)</t>
  </si>
  <si>
    <t xml:space="preserve">International relations, cultural cooperation</t>
  </si>
  <si>
    <t xml:space="preserve">Francophone Belgium's external relations agency - has LatAm/Mexico presence. Belgian nationality is an asset.</t>
  </si>
  <si>
    <t xml:space="preserve">Belgian pref.</t>
  </si>
  <si>
    <t xml:space="preserve">https://www.wbi.be</t>
  </si>
  <si>
    <t xml:space="preserve">Commission Justice et Paix (Belgique francophone)</t>
  </si>
  <si>
    <t xml:space="preserve">Colombia and extractives work.</t>
  </si>
  <si>
    <t xml:space="preserve">https://www.justicepaix.be</t>
  </si>
  <si>
    <t xml:space="preserve">EU-LAC Foundation</t>
  </si>
  <si>
    <t xml:space="preserve">Hamburg</t>
  </si>
  <si>
    <t xml:space="preserve">EU-Latin America bi-regional foundation. Hamburg-based, German is an asset.</t>
  </si>
  <si>
    <t xml:space="preserve">https://eulacfoundation.org</t>
  </si>
  <si>
    <t xml:space="preserve">Eclosio (ULiege NGO)</t>
  </si>
  <si>
    <t xml:space="preserve">Project officer</t>
  </si>
  <si>
    <t xml:space="preserve">Peru, Bolivia. Francophone.</t>
  </si>
  <si>
    <t xml:space="preserve">https://www.eclosio.ong</t>
  </si>
  <si>
    <t xml:space="preserve">FOS (Socialistische Solidariteit)</t>
  </si>
  <si>
    <t xml:space="preserve">Programme, comms</t>
  </si>
  <si>
    <t xml:space="preserve">Bolivia, Cuba, Nicaragua. Part of the socialist pillar with WSM/11.11.11.</t>
  </si>
  <si>
    <t xml:space="preserve">https://www.fos.ngo</t>
  </si>
  <si>
    <t xml:space="preserve">Iles de Paix</t>
  </si>
  <si>
    <t xml:space="preserve">Huy / Brussels</t>
  </si>
  <si>
    <t xml:space="preserve">Comms, education</t>
  </si>
  <si>
    <t xml:space="preserve">Peru, Bolivia.</t>
  </si>
  <si>
    <t xml:space="preserve">https://www.ilesdepaix.org</t>
  </si>
  <si>
    <t xml:space="preserve">Instituto Cervantes Bruselas</t>
  </si>
  <si>
    <t xml:space="preserve">Cultural institute</t>
  </si>
  <si>
    <t xml:space="preserve">Cultural programming, comms, teaching</t>
  </si>
  <si>
    <t xml:space="preserve">Spanish-language cultural institution in Brussels. Also a realistic freelance/teaching bridge.</t>
  </si>
  <si>
    <t xml:space="preserve">https://bruselas.cervantes.es</t>
  </si>
  <si>
    <t xml:space="preserve">Louvain Cooperation (UCLouvain NGO)</t>
  </si>
  <si>
    <t xml:space="preserve">Louvain-la-Neuve</t>
  </si>
  <si>
    <t xml:space="preserve">Bolivia, Peru.</t>
  </si>
  <si>
    <t xml:space="preserve">https://www.louvaincooperation.org</t>
  </si>
  <si>
    <t xml:space="preserve">Mission of Argentina to the EU</t>
  </si>
  <si>
    <t xml:space="preserve">Press/comms (local recruitment)</t>
  </si>
  <si>
    <t xml:space="preserve">Spanish-first; local recruitment.</t>
  </si>
  <si>
    <t xml:space="preserve">ES/PT</t>
  </si>
  <si>
    <t xml:space="preserve">https://ebelg.cancilleria.gob.ar</t>
  </si>
  <si>
    <t xml:space="preserve">Mission of Brazil to the EU</t>
  </si>
  <si>
    <t xml:space="preserve">Portuguese - her weakest working language, but Schaeffler Brazil gave her real exposure.</t>
  </si>
  <si>
    <t xml:space="preserve">PT/ES</t>
  </si>
  <si>
    <t xml:space="preserve">https://www.gov.br/mre/pt-br</t>
  </si>
  <si>
    <t xml:space="preserve">Mission of Chile to the EU</t>
  </si>
  <si>
    <t xml:space="preserve">https://www.chile.gob.cl/belgica/</t>
  </si>
  <si>
    <t xml:space="preserve">Mission of Colombia to the EU</t>
  </si>
  <si>
    <t xml:space="preserve">Spanish-first environment; press/comms posts are locally recruited.</t>
  </si>
  <si>
    <t xml:space="preserve">https://belgica.embajada.gov.co</t>
  </si>
  <si>
    <t xml:space="preserve">Mission of Peru to the EU</t>
  </si>
  <si>
    <t xml:space="preserve">https://www.gob.pe/rree</t>
  </si>
  <si>
    <t xml:space="preserve">Quinoa asbl</t>
  </si>
  <si>
    <t xml:space="preserve">Education/facilitation</t>
  </si>
  <si>
    <t xml:space="preserve">International solidarity education, intercultural workshops. Matches her facilitation record.</t>
  </si>
  <si>
    <t xml:space="preserve">https://www.quinoa.be</t>
  </si>
  <si>
    <t xml:space="preserve">Trias</t>
  </si>
  <si>
    <t xml:space="preserve">Programme officer</t>
  </si>
  <si>
    <t xml:space="preserve">Ecuador, Peru.</t>
  </si>
  <si>
    <t xml:space="preserve">https://www.trias.ngo</t>
  </si>
  <si>
    <t xml:space="preserve">Fundacion Carolina</t>
  </si>
  <si>
    <t xml:space="preserve">Think tank</t>
  </si>
  <si>
    <t xml:space="preserve">Madrid</t>
  </si>
  <si>
    <t xml:space="preserve">Researcher, comms</t>
  </si>
  <si>
    <t xml:space="preserve">Iberoamerican scholarship and cooperation foundation. Only if Madrid becomes an option.</t>
  </si>
  <si>
    <t xml:space="preserve">https://www.fundacioncarolina.es</t>
  </si>
  <si>
    <t xml:space="preserve">Real Instituto Elcano</t>
  </si>
  <si>
    <t xml:space="preserve">Spain's main IR think tank. Only if Madrid becomes an option.</t>
  </si>
  <si>
    <t xml:space="preserve">https://www.realinstitutoelcano.org</t>
  </si>
  <si>
    <t xml:space="preserve">Spanish Permanent Representation to the EU</t>
  </si>
  <si>
    <t xml:space="preserve">Support/comms roles</t>
  </si>
  <si>
    <t xml:space="preserve">Spanish-language working environment.</t>
  </si>
  <si>
    <t xml:space="preserve">https://www.exteriores.gob.es/RepresentacionesPermanentes/EspanaUE</t>
  </si>
  <si>
    <t xml:space="preserve">Viva Salud</t>
  </si>
  <si>
    <t xml:space="preserve">Health and solidarity; Palestine/Philippines/LatAm partners.</t>
  </si>
  <si>
    <t xml:space="preserve">https://www.vivasalud.be</t>
  </si>
  <si>
    <t xml:space="preserve">hub.brussels / AWEX - LatAm desks</t>
  </si>
  <si>
    <t xml:space="preserve">Trade &amp; export attache support</t>
  </si>
  <si>
    <t xml:space="preserve">Mexico/LatAm trade desks. Her logistics + comms + Spanish combine oddly well.</t>
  </si>
  <si>
    <t xml:space="preserve">https://hub.brussels</t>
  </si>
  <si>
    <t xml:space="preserve">Euractiv</t>
  </si>
  <si>
    <t xml:space="preserve">Media</t>
  </si>
  <si>
    <t xml:space="preserve">News media</t>
  </si>
  <si>
    <t xml:space="preserve">Comms, editorial, events</t>
  </si>
  <si>
    <t xml:space="preserve">Pan-European EU policy media, owned by Mediahuis; policy hubs incl. Global Europe.</t>
  </si>
  <si>
    <t xml:space="preserve">https://www.euractiv.com</t>
  </si>
  <si>
    <t xml:space="preserve">Agence Europe</t>
  </si>
  <si>
    <t xml:space="preserve">Francophone EU news agency of record.</t>
  </si>
  <si>
    <t xml:space="preserve">https://agenceurope.eu</t>
  </si>
  <si>
    <t xml:space="preserve">Belga News Agency</t>
  </si>
  <si>
    <t xml:space="preserve">News agency</t>
  </si>
  <si>
    <t xml:space="preserve">Editorial</t>
  </si>
  <si>
    <t xml:space="preserve">Belgian; FR/NL.</t>
  </si>
  <si>
    <t xml:space="preserve">https://www.belga.be</t>
  </si>
  <si>
    <t xml:space="preserve">EUobserver</t>
  </si>
  <si>
    <t xml:space="preserve">Independent EU news.</t>
  </si>
  <si>
    <t xml:space="preserve">https://euobserver.com</t>
  </si>
  <si>
    <t xml:space="preserve">Politico Europe</t>
  </si>
  <si>
    <t xml:space="preserve">Comms, events</t>
  </si>
  <si>
    <t xml:space="preserve">https://www.politico.eu/careers/</t>
  </si>
  <si>
    <t xml:space="preserve">RTBF</t>
  </si>
  <si>
    <t xml:space="preserve">Public broadcaster</t>
  </si>
  <si>
    <t xml:space="preserve">Comms, production</t>
  </si>
  <si>
    <t xml:space="preserve">Francophone public broadcaster. Belgian nationality helps.</t>
  </si>
  <si>
    <t xml:space="preserve">https://www.rtbf.be</t>
  </si>
  <si>
    <t xml:space="preserve">The Brussels Times</t>
  </si>
  <si>
    <t xml:space="preserve">English-language Belgian outlet.</t>
  </si>
  <si>
    <t xml:space="preserve">https://www.brusselstimes.com</t>
  </si>
  <si>
    <t xml:space="preserve">VRT</t>
  </si>
  <si>
    <t xml:space="preserve">Flemish public broadcaster. Dutch required.</t>
  </si>
  <si>
    <t xml:space="preserve">https://www.vrt.be/nl/jobs/</t>
  </si>
  <si>
    <t xml:space="preserve">Caritas Europa</t>
  </si>
  <si>
    <t xml:space="preserve">Migration &amp; asylum</t>
  </si>
  <si>
    <t xml:space="preserve">Migration + LatAm networks.</t>
  </si>
  <si>
    <t xml:space="preserve">https://www.caritas.eu/jobs/</t>
  </si>
  <si>
    <t xml:space="preserve">ECRE</t>
  </si>
  <si>
    <t xml:space="preserve">Refugee/asylum umbrella.</t>
  </si>
  <si>
    <t xml:space="preserve">https://ecre.org/vacancies/</t>
  </si>
  <si>
    <t xml:space="preserve">Jesuit Refugee Service Europe</t>
  </si>
  <si>
    <t xml:space="preserve">Ignatian network - continuity with Universidad Iberoamericana (Jesuit).</t>
  </si>
  <si>
    <t xml:space="preserve">https://jrseurope.org/vacancies/</t>
  </si>
  <si>
    <t xml:space="preserve">Migration Policy Institute Europe</t>
  </si>
  <si>
    <t xml:space="preserve">Her network already sits here (Mexican externalisation research).</t>
  </si>
  <si>
    <t xml:space="preserve">https://www.migrationpolicy.org/about/careers</t>
  </si>
  <si>
    <t xml:space="preserve">PICUM</t>
  </si>
  <si>
    <t xml:space="preserve">Comms officer, advocacy</t>
  </si>
  <si>
    <t xml:space="preserve">Undocumented migrants. Strong values fit; Spanish useful.</t>
  </si>
  <si>
    <t xml:space="preserve">https://picum.org/vacancies/</t>
  </si>
  <si>
    <t xml:space="preserve">BAPA (Bureaux d'Accueil pour Primo-Arrivants)</t>
  </si>
  <si>
    <t xml:space="preserve">Brussels public</t>
  </si>
  <si>
    <t xml:space="preserve">Reception, intercultural training</t>
  </si>
  <si>
    <t xml:space="preserve">Brussels integration offices for newcomers. Francophone. Her intercultural workshop record applies directly.</t>
  </si>
  <si>
    <t xml:space="preserve">https://bapa.brussels</t>
  </si>
  <si>
    <t xml:space="preserve">CGRA / CGVS (Refugees &amp; Stateless Persons)</t>
  </si>
  <si>
    <t xml:space="preserve">Protection officer, comms</t>
  </si>
  <si>
    <t xml:space="preserve">Belgian federal. Spanish is genuinely useful for LatAm caseloads.</t>
  </si>
  <si>
    <t xml:space="preserve">https://www.cgra.be</t>
  </si>
  <si>
    <t xml:space="preserve">CIRE</t>
  </si>
  <si>
    <t xml:space="preserve">Francophone Brussels migration coordination body.</t>
  </si>
  <si>
    <t xml:space="preserve">https://www.cire.be</t>
  </si>
  <si>
    <t xml:space="preserve">Caritas International Belgium</t>
  </si>
  <si>
    <t xml:space="preserve">Comms, reception</t>
  </si>
  <si>
    <t xml:space="preserve">Distinct from Caritas Europa - operational in Belgium.</t>
  </si>
  <si>
    <t xml:space="preserve">https://www.caritasinternational.be</t>
  </si>
  <si>
    <t xml:space="preserve">Convivial</t>
  </si>
  <si>
    <t xml:space="preserve">Social/integration worker, comms</t>
  </si>
  <si>
    <t xml:space="preserve">Francophone Brussels refugee integration NGO.</t>
  </si>
  <si>
    <t xml:space="preserve">https://www.convivial.be</t>
  </si>
  <si>
    <t xml:space="preserve">Fedasil</t>
  </si>
  <si>
    <t xml:space="preserve">Belgian nationality now qualifies. Selor language exam likely needed.</t>
  </si>
  <si>
    <t xml:space="preserve">https://www.fedasil.be/en/jobs</t>
  </si>
  <si>
    <t xml:space="preserve">Foyer vzw</t>
  </si>
  <si>
    <t xml:space="preserve">Intercultural mediation, project</t>
  </si>
  <si>
    <t xml:space="preserve">Brussels intercultural organisation - unusually direct anthropology fit. Bilingual NL/FR.</t>
  </si>
  <si>
    <t xml:space="preserve">NL/FR</t>
  </si>
  <si>
    <t xml:space="preserve">https://www.foyer.be</t>
  </si>
  <si>
    <t xml:space="preserve">ICMPD</t>
  </si>
  <si>
    <t xml:space="preserve">Vienna + Brussels</t>
  </si>
  <si>
    <t xml:space="preserve">https://www.icmpd.org/jobs</t>
  </si>
  <si>
    <t xml:space="preserve">Myria (Federal Migration Centre)</t>
  </si>
  <si>
    <t xml:space="preserve">Also hosts EMN Belgium.</t>
  </si>
  <si>
    <t xml:space="preserve">https://www.myria.be</t>
  </si>
  <si>
    <t xml:space="preserve">Plateforme Citoyenne de Soutien aux Refugies (BelRefugees)</t>
  </si>
  <si>
    <t xml:space="preserve">Comms, coordination</t>
  </si>
  <si>
    <t xml:space="preserve">Grassroots organising - matches the 'grassroots' line in her About.</t>
  </si>
  <si>
    <t xml:space="preserve">https://www.bxlrefugees.be</t>
  </si>
  <si>
    <t xml:space="preserve">Red Cross EU Office</t>
  </si>
  <si>
    <t xml:space="preserve">https://redcross.eu</t>
  </si>
  <si>
    <t xml:space="preserve">SOLIDAR</t>
  </si>
  <si>
    <t xml:space="preserve">Social justice umbrella; overlaps WSM/FOS.</t>
  </si>
  <si>
    <t xml:space="preserve">https://www.solidar.org</t>
  </si>
  <si>
    <t xml:space="preserve">Unia (Equality Body)</t>
  </si>
  <si>
    <t xml:space="preserve">Comms, DEI</t>
  </si>
  <si>
    <t xml:space="preserve">DEI is named explicitly in her About section.</t>
  </si>
  <si>
    <t xml:space="preserve">https://www.unia.be</t>
  </si>
  <si>
    <t xml:space="preserve">Agentschap Integratie en Inburgering</t>
  </si>
  <si>
    <t xml:space="preserve">Flemish public</t>
  </si>
  <si>
    <t xml:space="preserve">Intercultural, training</t>
  </si>
  <si>
    <t xml:space="preserve">https://www.integratie-inburgering.be</t>
  </si>
  <si>
    <t xml:space="preserve">CCME (Churches' Commission for Migrants in Europe)</t>
  </si>
  <si>
    <t xml:space="preserve">https://ccme.eu</t>
  </si>
  <si>
    <t xml:space="preserve">European Migration Network (EMN)</t>
  </si>
  <si>
    <t xml:space="preserve">EU network</t>
  </si>
  <si>
    <t xml:space="preserve">Research/comms</t>
  </si>
  <si>
    <t xml:space="preserve">Via Myria for the Belgian contact point.</t>
  </si>
  <si>
    <t xml:space="preserve">https://home-affairs.ec.europa.eu/networks/european-migration-network_en</t>
  </si>
  <si>
    <t xml:space="preserve">European Network on Statelessness</t>
  </si>
  <si>
    <t xml:space="preserve">London / Brussels</t>
  </si>
  <si>
    <t xml:space="preserve">Verify Brussels presence.</t>
  </si>
  <si>
    <t xml:space="preserve">https://www.statelessness.eu</t>
  </si>
  <si>
    <t xml:space="preserve">La Strada International</t>
  </si>
  <si>
    <t xml:space="preserve">Amsterdam</t>
  </si>
  <si>
    <t xml:space="preserve">Anti-trafficking.</t>
  </si>
  <si>
    <t xml:space="preserve">https://www.lastradainternational.org</t>
  </si>
  <si>
    <t xml:space="preserve">Mentor-Escale</t>
  </si>
  <si>
    <t xml:space="preserve">Unaccompanied minors.</t>
  </si>
  <si>
    <t xml:space="preserve">https://mentorescale.be</t>
  </si>
  <si>
    <t xml:space="preserve">Missing Children Europe</t>
  </si>
  <si>
    <t xml:space="preserve">Unaccompanied minors work.</t>
  </si>
  <si>
    <t xml:space="preserve">https://missingchildreneurope.eu</t>
  </si>
  <si>
    <t xml:space="preserve">Office des Etrangers / Dienst Vreemdelingenzaken</t>
  </si>
  <si>
    <t xml:space="preserve">https://dofi.ibz.be</t>
  </si>
  <si>
    <t xml:space="preserve">Vluchtelingenwerk Vlaanderen</t>
  </si>
  <si>
    <t xml:space="preserve">NGO (Flemish)</t>
  </si>
  <si>
    <t xml:space="preserve">Dutch required - park until Selor Dutch is done.</t>
  </si>
  <si>
    <t xml:space="preserve">https://www.vluchtelingenwerk.be/vacatures</t>
  </si>
  <si>
    <t xml:space="preserve">International Crisis Group</t>
  </si>
  <si>
    <t xml:space="preserve">Peace &amp; security</t>
  </si>
  <si>
    <t xml:space="preserve">Think tank (HQ Brussels)</t>
  </si>
  <si>
    <t xml:space="preserve">Brussels HQ. LatAm programme (Mexico, Colombia, Venezuela) - fieldwork-driven analysis.</t>
  </si>
  <si>
    <t xml:space="preserve">https://www.crisisgroup.org/careers</t>
  </si>
  <si>
    <t xml:space="preserve">Pax Christi International</t>
  </si>
  <si>
    <t xml:space="preserve">Brussels HQ with strong LatAm member networks (Colombia, Mexico).</t>
  </si>
  <si>
    <t xml:space="preserve">https://paxchristi.net</t>
  </si>
  <si>
    <t xml:space="preserve">Search for Common Ground - European HQ</t>
  </si>
  <si>
    <t xml:space="preserve">https://www.sfcg.org/careers/</t>
  </si>
  <si>
    <t xml:space="preserve">EPLO (European Peacebuilding Liaison Office)</t>
  </si>
  <si>
    <t xml:space="preserve">https://eplo.org</t>
  </si>
  <si>
    <t xml:space="preserve">EUISS (EU Institute for Security Studies)</t>
  </si>
  <si>
    <t xml:space="preserve">Paris / Brussels</t>
  </si>
  <si>
    <t xml:space="preserve">https://www.iss.europa.eu</t>
  </si>
  <si>
    <t xml:space="preserve">GRIP (Groupe de recherche et d'information sur la paix)</t>
  </si>
  <si>
    <t xml:space="preserve">Think tank (FR)</t>
  </si>
  <si>
    <t xml:space="preserve">Francophone Brussels peace research institute.</t>
  </si>
  <si>
    <t xml:space="preserve">https://grip.org</t>
  </si>
  <si>
    <t xml:space="preserve">International Alert - Brussels</t>
  </si>
  <si>
    <t xml:space="preserve">https://www.international-alert.org/jobs/</t>
  </si>
  <si>
    <t xml:space="preserve">Nonviolent Peaceforce</t>
  </si>
  <si>
    <t xml:space="preserve">Colombia programme.</t>
  </si>
  <si>
    <t xml:space="preserve">https://nonviolentpeaceforce.org/careers/</t>
  </si>
  <si>
    <t xml:space="preserve">Saferworld Brussels</t>
  </si>
  <si>
    <t xml:space="preserve">https://www.saferworld.org.uk/jobs</t>
  </si>
  <si>
    <t xml:space="preserve">Blomeyer &amp; Sanz</t>
  </si>
  <si>
    <t xml:space="preserve">Research &amp; evaluation</t>
  </si>
  <si>
    <t xml:space="preserve">Madrid / Brussels</t>
  </si>
  <si>
    <t xml:space="preserve">Researcher</t>
  </si>
  <si>
    <t xml:space="preserve">Spanish firm doing European Parliament studies. Spanish is the working language.</t>
  </si>
  <si>
    <t xml:space="preserve">https://blomeyer.eu</t>
  </si>
  <si>
    <t xml:space="preserve">Ecorys (Rue Belliard)</t>
  </si>
  <si>
    <t xml:space="preserve">Consultant, comms &amp; dissemination</t>
  </si>
  <si>
    <t xml:space="preserve">Research, consulting, programme management and comms on public policy. Also does the comms side.</t>
  </si>
  <si>
    <t xml:space="preserve">https://www.ecorys.com/careers/</t>
  </si>
  <si>
    <t xml:space="preserve">ICF (Avenue Marnix)</t>
  </si>
  <si>
    <t xml:space="preserve">Consultant - research &amp; evaluation</t>
  </si>
  <si>
    <t xml:space="preserve">Job ads explicitly ask for primary data collection, qualitative analysis, NVivo. Her methods training maps 1:1.</t>
  </si>
  <si>
    <t xml:space="preserve">Ipsos European Public Affairs</t>
  </si>
  <si>
    <t xml:space="preserve">Social research</t>
  </si>
  <si>
    <t xml:space="preserve">Research executive/manager, qualitative</t>
  </si>
  <si>
    <t xml:space="preserve">Runs Eurobarometer. Large-scale qualitative social research - the closest commercial analogue to her training.</t>
  </si>
  <si>
    <t xml:space="preserve">https://www.ipsos.com/en-be/careers</t>
  </si>
  <si>
    <t xml:space="preserve">Technopolis Group Belgium</t>
  </si>
  <si>
    <t xml:space="preserve">Consultant - evaluation &amp; impact assessment</t>
  </si>
  <si>
    <t xml:space="preserve">Brussels team known for evaluation/impact assessment and complex multi-country studies.</t>
  </si>
  <si>
    <t xml:space="preserve">https://www.technopolis-group.com/careers/</t>
  </si>
  <si>
    <t xml:space="preserve">Verian (ex-Kantar Public)</t>
  </si>
  <si>
    <t xml:space="preserve">Qualitative researcher</t>
  </si>
  <si>
    <t xml:space="preserve">Eurobarometer contractor.</t>
  </si>
  <si>
    <t xml:space="preserve">https://www.veriangroup.com/careers</t>
  </si>
  <si>
    <t xml:space="preserve">Open Evidence</t>
  </si>
  <si>
    <t xml:space="preserve">Barcelona + Brussels</t>
  </si>
  <si>
    <t xml:space="preserve">Spanish-founded - Spanish is an asset internally.</t>
  </si>
  <si>
    <t xml:space="preserve">https://open-evidence.com</t>
  </si>
  <si>
    <t xml:space="preserve">PPMI</t>
  </si>
  <si>
    <t xml:space="preserve">Vilnius + Brussels</t>
  </si>
  <si>
    <t xml:space="preserve">Heavy Horizon/comms portfolio.</t>
  </si>
  <si>
    <t xml:space="preserve">https://ppmi.lt/careers</t>
  </si>
  <si>
    <t xml:space="preserve">Particip GmbH</t>
  </si>
  <si>
    <t xml:space="preserve">Freiburg + Brussels</t>
  </si>
  <si>
    <t xml:space="preserve">Evaluator</t>
  </si>
  <si>
    <t xml:space="preserve">German firm - her German is an asset. Development evaluation incl. LatAm.</t>
  </si>
  <si>
    <t xml:space="preserve">https://www.particip.de</t>
  </si>
  <si>
    <t xml:space="preserve">Prospex Institute</t>
  </si>
  <si>
    <t xml:space="preserve">Participatory methods</t>
  </si>
  <si>
    <t xml:space="preserve">Facilitator, researcher</t>
  </si>
  <si>
    <t xml:space="preserve">Stakeholder dialogue and participatory process design - unusually close to ethnographic facilitation.</t>
  </si>
  <si>
    <t xml:space="preserve">https://www.prospex-institute.org</t>
  </si>
  <si>
    <t xml:space="preserve">Ramboll Management Consulting</t>
  </si>
  <si>
    <t xml:space="preserve">Consultant - EU evaluation</t>
  </si>
  <si>
    <t xml:space="preserve">One of the main EU evaluation firms.</t>
  </si>
  <si>
    <t xml:space="preserve">https://www.ramboll.com/careers</t>
  </si>
  <si>
    <t xml:space="preserve">Tetra Tech</t>
  </si>
  <si>
    <t xml:space="preserve">Named among the main EU policy evaluation firms.</t>
  </si>
  <si>
    <t xml:space="preserve">https://www.tetratech.com/careers/</t>
  </si>
  <si>
    <t xml:space="preserve">VVA (Valdani Vicari &amp; Associati)</t>
  </si>
  <si>
    <t xml:space="preserve">https://www.vva.it</t>
  </si>
  <si>
    <t xml:space="preserve">CSES (Centre for Strategy &amp; Evaluation Services)</t>
  </si>
  <si>
    <t xml:space="preserve">UK / Brussels</t>
  </si>
  <si>
    <t xml:space="preserve">Verify current Brussels presence.</t>
  </si>
  <si>
    <t xml:space="preserve">https://cses.co.uk</t>
  </si>
  <si>
    <t xml:space="preserve">Deloitte - EU Services</t>
  </si>
  <si>
    <t xml:space="preserve">Bids on EU evaluation alongside accounting work.</t>
  </si>
  <si>
    <t xml:space="preserve">https://www.deloitte.com/be/en/careers.html</t>
  </si>
  <si>
    <t xml:space="preserve">EY - EU Institutions practice</t>
  </si>
  <si>
    <t xml:space="preserve">https://www.ey.com/en_be/careers</t>
  </si>
  <si>
    <t xml:space="preserve">Empirica</t>
  </si>
  <si>
    <t xml:space="preserve">German research firm on EU framework contracts. German is the edge.</t>
  </si>
  <si>
    <t xml:space="preserve">DE/EN</t>
  </si>
  <si>
    <t xml:space="preserve">https://www.empirica.com</t>
  </si>
  <si>
    <t xml:space="preserve">Fondazione Giacomo Brodolini</t>
  </si>
  <si>
    <t xml:space="preserve">Rome / Brussels</t>
  </si>
  <si>
    <t xml:space="preserve">Social policy research on EU framework contracts.</t>
  </si>
  <si>
    <t xml:space="preserve">https://www.fondazionebrodolini.it</t>
  </si>
  <si>
    <t xml:space="preserve">ICON-INSTITUT</t>
  </si>
  <si>
    <t xml:space="preserve">Cologne</t>
  </si>
  <si>
    <t xml:space="preserve">German + Spanish + development.</t>
  </si>
  <si>
    <t xml:space="preserve">https://www.icon-institute.de</t>
  </si>
  <si>
    <t xml:space="preserve">Milieu Consulting</t>
  </si>
  <si>
    <t xml:space="preserve">https://www.milieu.be</t>
  </si>
  <si>
    <t xml:space="preserve">Trinomics</t>
  </si>
  <si>
    <t xml:space="preserve">Rotterdam + Brussels</t>
  </si>
  <si>
    <t xml:space="preserve">https://trinomics.eu/vacancies/</t>
  </si>
  <si>
    <t xml:space="preserve">Visionary Analytics</t>
  </si>
  <si>
    <t xml:space="preserve">https://visionary.lt</t>
  </si>
  <si>
    <t xml:space="preserve">Friedrich-Ebert-Stiftung EU Office</t>
  </si>
  <si>
    <t xml:space="preserve">Think tanks</t>
  </si>
  <si>
    <t xml:space="preserve">Political foundation (DE)</t>
  </si>
  <si>
    <t xml:space="preserve">German is a real differentiator - very few Brussels comms candidates have technical German.</t>
  </si>
  <si>
    <t xml:space="preserve">https://brussels.fes.de</t>
  </si>
  <si>
    <t xml:space="preserve">Heinrich-Boll-Stiftung EU</t>
  </si>
  <si>
    <t xml:space="preserve">German + gender/ecology focus + LatAm offices (Mexico City!).</t>
  </si>
  <si>
    <t xml:space="preserve">https://eu.boell.org</t>
  </si>
  <si>
    <t xml:space="preserve">Centre Avec</t>
  </si>
  <si>
    <t xml:space="preserve">Political foundation (BE, FR)</t>
  </si>
  <si>
    <t xml:space="preserve">Jesuit social analysis centre - continuity with Ibero (Jesuit) and with engaged anthropology.</t>
  </si>
  <si>
    <t xml:space="preserve">https://www.centreavec.be</t>
  </si>
  <si>
    <t xml:space="preserve">Egmont Institute</t>
  </si>
  <si>
    <t xml:space="preserve">Belgium's IR institute; works in FR/NL/EN.</t>
  </si>
  <si>
    <t xml:space="preserve">FR/NL/EN</t>
  </si>
  <si>
    <t xml:space="preserve">https://www.egmontinstitute.be</t>
  </si>
  <si>
    <t xml:space="preserve">FEPS (Foundation for European Progressive Studies)</t>
  </si>
  <si>
    <t xml:space="preserve">Political foundation</t>
  </si>
  <si>
    <t xml:space="preserve">Progressive/social justice think tank. Values fit is explicit.</t>
  </si>
  <si>
    <t xml:space="preserve">https://feps-europe.eu/vacancies/</t>
  </si>
  <si>
    <t xml:space="preserve">Friends of Europe</t>
  </si>
  <si>
    <t xml:space="preserve">Events-heavy - matches her events record.</t>
  </si>
  <si>
    <t xml:space="preserve">https://www.friendsofeurope.org</t>
  </si>
  <si>
    <t xml:space="preserve">Konrad-Adenauer-Stiftung European Office</t>
  </si>
  <si>
    <t xml:space="preserve">German + Spanish; KAS has large LatAm programme.</t>
  </si>
  <si>
    <t xml:space="preserve">https://www.kas.de/en/web/bruessel-eu</t>
  </si>
  <si>
    <t xml:space="preserve">Rosa-Luxemburg-Stiftung Brussels</t>
  </si>
  <si>
    <t xml:space="preserve">German + LatAm (Mexico City office).</t>
  </si>
  <si>
    <t xml:space="preserve">https://www.rosalux.eu</t>
  </si>
  <si>
    <t xml:space="preserve">Bruegel</t>
  </si>
  <si>
    <t xml:space="preserve">Economics-heavy; comms roles only.</t>
  </si>
  <si>
    <t xml:space="preserve">https://www.bruegel.org/vacancies</t>
  </si>
  <si>
    <t xml:space="preserve">CEPS</t>
  </si>
  <si>
    <t xml:space="preserve">https://www.ceps.eu/about-ceps/jobs/</t>
  </si>
  <si>
    <t xml:space="preserve">Carnegie Europe</t>
  </si>
  <si>
    <t xml:space="preserve">https://carnegieendowment.org/about/employment</t>
  </si>
  <si>
    <t xml:space="preserve">ECFR Brussels</t>
  </si>
  <si>
    <t xml:space="preserve">https://ecfr.eu/jobs/</t>
  </si>
  <si>
    <t xml:space="preserve">Etopia (Ecolo)</t>
  </si>
  <si>
    <t xml:space="preserve">Namur / Brussels</t>
  </si>
  <si>
    <t xml:space="preserve">Ecolo-linked francophone think tank.</t>
  </si>
  <si>
    <t xml:space="preserve">https://etopia.be</t>
  </si>
  <si>
    <t xml:space="preserve">European Policy Centre (EPC)</t>
  </si>
  <si>
    <t xml:space="preserve">https://www.epc.eu</t>
  </si>
  <si>
    <t xml:space="preserve">Friedrich-Naumann-Stiftung</t>
  </si>
  <si>
    <t xml:space="preserve">Programme</t>
  </si>
  <si>
    <t xml:space="preserve">DE</t>
  </si>
  <si>
    <t xml:space="preserve">https://europe.fnst.org</t>
  </si>
  <si>
    <t xml:space="preserve">German Marshall Fund Brussels</t>
  </si>
  <si>
    <t xml:space="preserve">German is an asset.</t>
  </si>
  <si>
    <t xml:space="preserve">EN/DE</t>
  </si>
  <si>
    <t xml:space="preserve">https://www.gmfus.org/careers</t>
  </si>
  <si>
    <t xml:space="preserve">Green European Foundation</t>
  </si>
  <si>
    <t xml:space="preserve">https://gef.eu</t>
  </si>
  <si>
    <t xml:space="preserve">Institut Emile Vandervelde (PS)</t>
  </si>
  <si>
    <t xml:space="preserve">PS-linked francophone think tank.</t>
  </si>
  <si>
    <t xml:space="preserve">https://www.iev.be</t>
  </si>
  <si>
    <t xml:space="preserve">Institut Jacques Delors</t>
  </si>
  <si>
    <t xml:space="preserve">Francophone.</t>
  </si>
  <si>
    <t xml:space="preserve">https://institutdelors.eu</t>
  </si>
  <si>
    <t xml:space="preserve">Transform! Europe</t>
  </si>
  <si>
    <t xml:space="preserve">Brussels / Vienna</t>
  </si>
  <si>
    <t xml:space="preserve">Strong LatAm intellectual links.</t>
  </si>
  <si>
    <t xml:space="preserve">https://www.transform-network.net</t>
  </si>
  <si>
    <t xml:space="preserve">Wilfried Martens Centre</t>
  </si>
  <si>
    <t xml:space="preserve">https://www.martenscentre.eu</t>
  </si>
  <si>
    <t xml:space="preserve">Horizon Europe consortia - via CORDIS</t>
  </si>
  <si>
    <t xml:space="preserve">Universities &amp; research</t>
  </si>
  <si>
    <t xml:space="preserve">Research network</t>
  </si>
  <si>
    <t xml:space="preserve">EU-wide</t>
  </si>
  <si>
    <t xml:space="preserve">Dissemination &amp; communication officer</t>
  </si>
  <si>
    <t xml:space="preserve">CORDIS lists funded projects and partners. Find consortia with LatAm partners, then approach the coordinator cold.</t>
  </si>
  <si>
    <t xml:space="preserve">https://cordis.europa.eu/projects</t>
  </si>
  <si>
    <t xml:space="preserve">Horizon Europe consortia - via Euraxess</t>
  </si>
  <si>
    <t xml:space="preserve">Euraxess is the research jobs portal - filter for comms/dissemination roles on funded projects.</t>
  </si>
  <si>
    <t xml:space="preserve">https://euraxess.ec.europa.eu/jobs/search</t>
  </si>
  <si>
    <t xml:space="preserve">KU Leuven - Faculty of Social Sciences</t>
  </si>
  <si>
    <t xml:space="preserve">University</t>
  </si>
  <si>
    <t xml:space="preserve">Research/comms officer, project coordinator (Horizon)</t>
  </si>
  <si>
    <t xml:space="preserve">Her alma mater. Warm intro via thesis supervisor. Every Horizon consortium has a comms work package.</t>
  </si>
  <si>
    <t xml:space="preserve">EN/NL</t>
  </si>
  <si>
    <t xml:space="preserve">https://www.kuleuven.be/personeel/jobsite/</t>
  </si>
  <si>
    <t xml:space="preserve">MigratieMuseum Migration</t>
  </si>
  <si>
    <t xml:space="preserve">Museum</t>
  </si>
  <si>
    <t xml:space="preserve">Brussels (Molenbeek)</t>
  </si>
  <si>
    <t xml:space="preserve">Curation, public engagement, comms</t>
  </si>
  <si>
    <t xml:space="preserve">Migration museum in Brussels. Anthropology + comms + migration in one job.</t>
  </si>
  <si>
    <t xml:space="preserve">https://www.migratiemuseummigration.be</t>
  </si>
  <si>
    <t xml:space="preserve">ULB - LAMC (Laboratoire d'anthropologie des mondes contemporains)</t>
  </si>
  <si>
    <t xml:space="preserve">Research/project officer</t>
  </si>
  <si>
    <t xml:space="preserve">Francophone anthropology lab in Brussels.</t>
  </si>
  <si>
    <t xml:space="preserve">https://www.ulb.be/en/jobs</t>
  </si>
  <si>
    <t xml:space="preserve">University of Antwerp - CeMIS (Centre for Migration and Intercultural Studies)</t>
  </si>
  <si>
    <t xml:space="preserve">Researcher, project/comms officer</t>
  </si>
  <si>
    <t xml:space="preserve">Migration + intercultural studies. Precise disciplinary match.</t>
  </si>
  <si>
    <t xml:space="preserve">NL/EN</t>
  </si>
  <si>
    <t xml:space="preserve">https://www.uantwerpen.be/en/jobs/</t>
  </si>
  <si>
    <t xml:space="preserve">VUB - Brussels School of Governance / IES</t>
  </si>
  <si>
    <t xml:space="preserve">Project &amp; comms officer</t>
  </si>
  <si>
    <t xml:space="preserve">https://www.vub.be/en/jobs</t>
  </si>
  <si>
    <t xml:space="preserve">AfricaMuseum (Royal Museum for Central Africa)</t>
  </si>
  <si>
    <t xml:space="preserve">Museum / research</t>
  </si>
  <si>
    <t xml:space="preserve">Public programmes, comms, research</t>
  </si>
  <si>
    <t xml:space="preserve">Anthropology and decolonial practice - directly relevant to the 'epistemic hogra' debates in her feed.</t>
  </si>
  <si>
    <t xml:space="preserve">https://www.africamuseum.be/en/about_us/jobs</t>
  </si>
  <si>
    <t xml:space="preserve">College of Europe</t>
  </si>
  <si>
    <t xml:space="preserve">Postgraduate institute</t>
  </si>
  <si>
    <t xml:space="preserve">Bruges / Natolin</t>
  </si>
  <si>
    <t xml:space="preserve">Comms, admissions, programme</t>
  </si>
  <si>
    <t xml:space="preserve">Multilingual admin/comms roles.</t>
  </si>
  <si>
    <t xml:space="preserve">https://www.coleurope.eu/careers</t>
  </si>
  <si>
    <t xml:space="preserve">Ghent University - CESSMIR</t>
  </si>
  <si>
    <t xml:space="preserve">Ghent</t>
  </si>
  <si>
    <t xml:space="preserve">Researcher, project officer</t>
  </si>
  <si>
    <t xml:space="preserve">Centre for the Social Study of Migration and Refugees.</t>
  </si>
  <si>
    <t xml:space="preserve">https://www.ugent.be/en/work</t>
  </si>
  <si>
    <t xml:space="preserve">UCLouvain - LAAP (Laboratoire d'anthropologie prospective)</t>
  </si>
  <si>
    <t xml:space="preserve">Francophone anthropology.</t>
  </si>
  <si>
    <t xml:space="preserve">https://uclouvain.be/en/jobs</t>
  </si>
  <si>
    <t xml:space="preserve">Bozar (Centre for Fine Arts)</t>
  </si>
  <si>
    <t xml:space="preserve">Cultural institution</t>
  </si>
  <si>
    <t xml:space="preserve">Programming, comms</t>
  </si>
  <si>
    <t xml:space="preserve">LatAm programming; intercultural public engagement.</t>
  </si>
  <si>
    <t xml:space="preserve">https://www.bozar.be/en/jobs</t>
  </si>
  <si>
    <t xml:space="preserve">IHECS</t>
  </si>
  <si>
    <t xml:space="preserve">Comms school</t>
  </si>
  <si>
    <t xml:space="preserve">Lecturer, project</t>
  </si>
  <si>
    <t xml:space="preserve">Francophone Brussels communications school - teaching/adjunct route.</t>
  </si>
  <si>
    <t xml:space="preserve">https://www.ihecs.be</t>
  </si>
  <si>
    <t xml:space="preserve">KANAL Centre Pompidou</t>
  </si>
  <si>
    <t xml:space="preserve">Public engagement in a majority-migrant neighbourhood.</t>
  </si>
  <si>
    <t xml:space="preserve">https://kanal.brussels</t>
  </si>
  <si>
    <t xml:space="preserve">Red Star Line Museum</t>
  </si>
  <si>
    <t xml:space="preserve">Public engagement, comms</t>
  </si>
  <si>
    <t xml:space="preserve">Migration museum.</t>
  </si>
  <si>
    <t xml:space="preserve">https://www.redstarline.be</t>
  </si>
  <si>
    <t xml:space="preserve">Universite Saint-Louis Bruxelles (UCLouvain Saint-Louis)</t>
  </si>
  <si>
    <t xml:space="preserve">Project/comms</t>
  </si>
  <si>
    <t xml:space="preserve">Francophone Brussels.</t>
  </si>
  <si>
    <t xml:space="preserve">Deadlines &amp; Actions</t>
  </si>
  <si>
    <t xml:space="preserve">When</t>
  </si>
  <si>
    <t xml:space="preserve">What</t>
  </si>
  <si>
    <t xml:space="preserve">Why it matters</t>
  </si>
  <si>
    <t xml:space="preserve">Link</t>
  </si>
  <si>
    <t xml:space="preserve">Done</t>
  </si>
  <si>
    <t xml:space="preserve">This week</t>
  </si>
  <si>
    <t xml:space="preserve">Register on CAST Permanent (Communication, FG III/IV)</t>
  </si>
  <si>
    <t xml:space="preserve">Open-ended, free. Services shortlist from the database when a need arises. Refresh every 6 months or the profile stops being visible.</t>
  </si>
  <si>
    <t xml:space="preserve">Rewrite the LinkedIn headline and About</t>
  </si>
  <si>
    <t xml:space="preserve">Three identities means a recruiter picks none. Lead with six paid years of comms.</t>
  </si>
  <si>
    <t xml:space="preserve">https://www.linkedin.com</t>
  </si>
  <si>
    <t xml:space="preserve">Ask Schaeffler about a European transfer</t>
  </si>
  <si>
    <t xml:space="preserve">Six years of goodwill, zero application cost. Cheapest move available.</t>
  </si>
  <si>
    <t xml:space="preserve">22 Jul 2026, 10:00</t>
  </si>
  <si>
    <t xml:space="preserve">Blue Book registration OPENS</t>
  </si>
  <si>
    <t xml:space="preserve">Runs to 4 Sep 2026, 10:00 Brussels. ~1,000 posts across DGs and agencies.</t>
  </si>
  <si>
    <t xml:space="preserve">By mid-Aug 2026</t>
  </si>
  <si>
    <t xml:space="preserve">Draft motivation letter + pick DG preferences</t>
  </si>
  <si>
    <t xml:space="preserve">Screening scores academic profile, languages and motivation; shortlisted profiles then go to DGs choosing against their own needs. Target DG COMM, DG INTPA (LatAm), EEAS, DG HOME.</t>
  </si>
  <si>
    <t xml:space="preserve">4 Sep 2026, 10:00</t>
  </si>
  <si>
    <t xml:space="preserve">Blue Book DEADLINE (hard)</t>
  </si>
  <si>
    <t xml:space="preserve">EUR 1,538.16/month for 5 months. A pay cut - but the standard door, running since 1960.</t>
  </si>
  <si>
    <t xml:space="preserve">Sep-Oct 2026</t>
  </si>
  <si>
    <t xml:space="preserve">Enrol in Selor/Werkenvoor Dutch certification</t>
  </si>
  <si>
    <t xml:space="preserve">Her Dutch is limited working proficiency. One certificate unlocks the whole Belgian federal tier.</t>
  </si>
  <si>
    <t xml:space="preserve">Rolling</t>
  </si>
  <si>
    <t xml:space="preserve">Work the Priority 1 rows</t>
  </si>
  <si>
    <t xml:space="preserve">The NGO/consultancy track pays the rent while the institutional machinery grinds.</t>
  </si>
  <si>
    <t xml:space="preserve">Set alerts on every board in 'Job Boards &amp; Sources'</t>
  </si>
  <si>
    <t xml:space="preserve">EuroBrussels and Euractiv Jobs both curate listings and run newsletters.</t>
  </si>
  <si>
    <t xml:space="preserve">~Apr 2027</t>
  </si>
  <si>
    <t xml:space="preserve">JPD call, 2028-2030 round</t>
  </si>
  <si>
    <t xml:space="preserve">Min. 54 places, 2 per Member State, via the Belgian focal point. EU Delegation to Mexico is the bespoke target. Caveat: priority to candidates with up to 4 years' relevant experience.</t>
  </si>
  <si>
    <t xml:space="preserve">https://www.eeas.europa.eu</t>
  </si>
  <si>
    <t xml:space="preserve">2027</t>
  </si>
  <si>
    <t xml:space="preserve">EPSO International affairs specialists</t>
  </si>
  <si>
    <t xml:space="preserve">Moved by EPSO from 2026 to 2027.</t>
  </si>
  <si>
    <t xml:space="preserve">Unknown</t>
  </si>
  <si>
    <t xml:space="preserve">Next EPSO AD5 Graduates round</t>
  </si>
  <si>
    <t xml:space="preserve">2026 round closed 10 Mar: 174,727 applicants / 1,490 places (0.85%). Seven-year gap before it.</t>
  </si>
  <si>
    <t xml:space="preserve">Job Boards &amp; Sources</t>
  </si>
  <si>
    <t xml:space="preserve">Source</t>
  </si>
  <si>
    <t xml:space="preserve">What it covers</t>
  </si>
  <si>
    <t xml:space="preserve">Alert set up?</t>
  </si>
  <si>
    <t xml:space="preserve">EuroBrussels</t>
  </si>
  <si>
    <t xml:space="preserve">https://www.eurobrussels.com</t>
  </si>
  <si>
    <t xml:space="preserve">The primary EU affairs board. Curated. 18 policy areas, ~80,000 newsletter subscribers, filters by years of experience.</t>
  </si>
  <si>
    <t xml:space="preserve">Euractiv Jobs</t>
  </si>
  <si>
    <t xml:space="preserve">https://jobs.euractiv.com</t>
  </si>
  <si>
    <t xml:space="preserve">The other go-to board; organisations pay to post, so listings are monitored.</t>
  </si>
  <si>
    <t xml:space="preserve">Jobs in Brussels (jobsin.brussels)</t>
  </si>
  <si>
    <t xml:space="preserve">https://jobsin.brussels</t>
  </si>
  <si>
    <t xml:space="preserve">NEW - found via live search. Curated vacancies at NGOs, international organisations and political parties in Brussels. Was not on the earlier list.</t>
  </si>
  <si>
    <t xml:space="preserve">Human Rights Careers job board</t>
  </si>
  <si>
    <t xml:space="preserve">https://jobs.humanrightscareers.com</t>
  </si>
  <si>
    <t xml:space="preserve">NEW - found via live search. Human rights sector, incl. Protection International postings.</t>
  </si>
  <si>
    <t xml:space="preserve">EU Careers / EPSO</t>
  </si>
  <si>
    <t xml:space="preserve">CAST registration, competitions, upcoming opportunities. Check weekly.</t>
  </si>
  <si>
    <t xml:space="preserve">Blue Book Traineeships</t>
  </si>
  <si>
    <t xml:space="preserve">The Commission traineeship portal.</t>
  </si>
  <si>
    <t xml:space="preserve">EUJobs.co</t>
  </si>
  <si>
    <t xml:space="preserve">https://www.eujobs.co</t>
  </si>
  <si>
    <t xml:space="preserve">EU institutions, NGOs, think tanks, public affairs.</t>
  </si>
  <si>
    <t xml:space="preserve">Devex</t>
  </si>
  <si>
    <t xml:space="preserve">https://www.devex.com</t>
  </si>
  <si>
    <t xml:space="preserve">Global development. Strong LatAm coverage.</t>
  </si>
  <si>
    <t xml:space="preserve">Impactpool</t>
  </si>
  <si>
    <t xml:space="preserve">https://www.impactpool.org</t>
  </si>
  <si>
    <t xml:space="preserve">UN, IFIs, international orgs. Also carries EPSO CAST calls.</t>
  </si>
  <si>
    <t xml:space="preserve">LinkedIn Jobs</t>
  </si>
  <si>
    <t xml:space="preserve">Networking as much as listings - Brussels runs on referrals.</t>
  </si>
  <si>
    <t xml:space="preserve">UNTalent</t>
  </si>
  <si>
    <t xml:space="preserve">https://untalent.org</t>
  </si>
  <si>
    <t xml:space="preserve">NEW - UN system vacancies filterable by duty station (incl. Brussels).</t>
  </si>
  <si>
    <t xml:space="preserve">Trusted Jobs</t>
  </si>
  <si>
    <t xml:space="preserve">https://trustedjobs.eu</t>
  </si>
  <si>
    <t xml:space="preserve">EU affairs and consultancy roles.</t>
  </si>
  <si>
    <t xml:space="preserve">EU Jobs Alert</t>
  </si>
  <si>
    <t xml:space="preserve">https://eujobsalert.com</t>
  </si>
  <si>
    <t xml:space="preserve">Guides and vacancy tracking for institutional routes.</t>
  </si>
  <si>
    <t xml:space="preserve">Brussels Jobs (EuroJobsites)</t>
  </si>
  <si>
    <t xml:space="preserve">https://www.brusselsjobs.com</t>
  </si>
  <si>
    <t xml:space="preserve">General Brussels professional roles.</t>
  </si>
  <si>
    <t xml:space="preserve">Euraxess</t>
  </si>
  <si>
    <t xml:space="preserve">European research jobs - the route to Horizon comms/dissemination posts.</t>
  </si>
  <si>
    <t xml:space="preserve">CORDIS</t>
  </si>
  <si>
    <t xml:space="preserve">Find Horizon consortia with LatAm partners, then approach the coordinator cold.</t>
  </si>
  <si>
    <t xml:space="preserve">Le Guide Social</t>
  </si>
  <si>
    <t xml:space="preserve">https://www.guidesocial.be</t>
  </si>
  <si>
    <t xml:space="preserve">Francophone Belgian social sector. The main board for Brussels NGOs and integration work.</t>
  </si>
  <si>
    <t xml:space="preserve">Jobat</t>
  </si>
  <si>
    <t xml:space="preserve">https://www.jobat.be</t>
  </si>
  <si>
    <t xml:space="preserve">Flemish general jobs.</t>
  </si>
  <si>
    <t xml:space="preserve">References.be</t>
  </si>
  <si>
    <t xml:space="preserve">https://references.lesoir.be</t>
  </si>
  <si>
    <t xml:space="preserve">Francophone Belgian general jobs.</t>
  </si>
  <si>
    <t xml:space="preserve">Belgian federal recruitment.</t>
  </si>
  <si>
    <t xml:space="preserve">Brussels-Capital Region public sector.</t>
  </si>
  <si>
    <t xml:space="preserve">Brussels regional employment service.</t>
  </si>
  <si>
    <t xml:space="preserve">NATO Recruitment</t>
  </si>
  <si>
    <t xml:space="preserve">NATO HQ in Evere. Member-state nationality required.</t>
  </si>
  <si>
    <t xml:space="preserve">European Parliament</t>
  </si>
  <si>
    <t xml:space="preserve">https://www.europarl.europa.eu</t>
  </si>
  <si>
    <t xml:space="preserve">APA posts, political group secretariats, traineeships.</t>
  </si>
  <si>
    <t xml:space="preserve">ReliefWeb Jobs</t>
  </si>
  <si>
    <t xml:space="preserve">https://reliefweb.int/jobs</t>
  </si>
  <si>
    <t xml:space="preserve">Humanitarian sector.</t>
  </si>
  <si>
    <t xml:space="preserve">Idealist</t>
  </si>
  <si>
    <t xml:space="preserve">https://www.idealist.org</t>
  </si>
  <si>
    <t xml:space="preserve">NGO and non-profit roles.</t>
  </si>
  <si>
    <t xml:space="preserve">The Beubble</t>
  </si>
  <si>
    <t xml:space="preserve">https://thebeubble.substack.com</t>
  </si>
  <si>
    <t xml:space="preserve">Brussels job-hunting guidance and openings.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</si>
</sst>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5FA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werkenvoor.be/en/language-certificates" TargetMode="External"/><Relationship Id="rId2" Type="http://schemas.openxmlformats.org/officeDocument/2006/relationships/hyperlink" Target="https://www.google.com/search?q=Selor+language+exams+%28Article+7%2F12%29+Brussels+jobs+vacancies" TargetMode="External"/><Relationship Id="rId3" Type="http://schemas.openxmlformats.org/officeDocument/2006/relationships/hyperlink" Target="https://diplomatie.belgium.be/en/jobs" TargetMode="External"/><Relationship Id="rId4" Type="http://schemas.openxmlformats.org/officeDocument/2006/relationships/hyperlink" Target="https://www.google.com/search?q=FPS+Foreign+Affairs+%28Belgium%29+Brussels+jobs+vacancies" TargetMode="External"/><Relationship Id="rId5" Type="http://schemas.openxmlformats.org/officeDocument/2006/relationships/hyperlink" Target="https://www.werkenvoor.be/" TargetMode="External"/><Relationship Id="rId6" Type="http://schemas.openxmlformats.org/officeDocument/2006/relationships/hyperlink" Target="https://www.google.com/search?q=werkenvoor.be+%2F+travaillerpour.be+Brussels+jobs+vacancies" TargetMode="External"/><Relationship Id="rId7" Type="http://schemas.openxmlformats.org/officeDocument/2006/relationships/hyperlink" Target="https://www.actiris.brussels/" TargetMode="External"/><Relationship Id="rId8" Type="http://schemas.openxmlformats.org/officeDocument/2006/relationships/hyperlink" Target="https://www.google.com/search?q=Actiris+Brussels+jobs+vacancies" TargetMode="External"/><Relationship Id="rId9" Type="http://schemas.openxmlformats.org/officeDocument/2006/relationships/hyperlink" Target="https://ccf.brussels/" TargetMode="External"/><Relationship Id="rId10" Type="http://schemas.openxmlformats.org/officeDocument/2006/relationships/hyperlink" Target="https://www.google.com/search?q=COCOF+%28Commission+communautaire+francaise%29+Brussels+jobs+vacancies" TargetMode="External"/><Relationship Id="rId11" Type="http://schemas.openxmlformats.org/officeDocument/2006/relationships/hyperlink" Target="https://www.evere.brussels/" TargetMode="External"/><Relationship Id="rId12" Type="http://schemas.openxmlformats.org/officeDocument/2006/relationships/hyperlink" Target="https://www.google.com/search?q=Commune+d%27Evere+Evere+jobs+vacancies" TargetMode="External"/><Relationship Id="rId13" Type="http://schemas.openxmlformats.org/officeDocument/2006/relationships/hyperlink" Target="https://www.molenbeek.irisnet.be/" TargetMode="External"/><Relationship Id="rId14" Type="http://schemas.openxmlformats.org/officeDocument/2006/relationships/hyperlink" Target="https://www.google.com/search?q=Commune+de+Molenbeek-Saint-Jean+Molenbeek+jobs+vacancies" TargetMode="External"/><Relationship Id="rId15" Type="http://schemas.openxmlformats.org/officeDocument/2006/relationships/hyperlink" Target="https://www.stjosse.irisnet.be/" TargetMode="External"/><Relationship Id="rId16" Type="http://schemas.openxmlformats.org/officeDocument/2006/relationships/hyperlink" Target="https://www.google.com/search?q=Commune+de+Saint-Josse-ten-Noode+Saint-Josse+jobs+vacancies" TargetMode="External"/><Relationship Id="rId17" Type="http://schemas.openxmlformats.org/officeDocument/2006/relationships/hyperlink" Target="https://www.1030.be/" TargetMode="External"/><Relationship Id="rId18" Type="http://schemas.openxmlformats.org/officeDocument/2006/relationships/hyperlink" Target="https://www.google.com/search?q=Commune+de+Schaerbeek+Schaerbeek+jobs+vacancies" TargetMode="External"/><Relationship Id="rId19" Type="http://schemas.openxmlformats.org/officeDocument/2006/relationships/hyperlink" Target="https://www.vgc.be/" TargetMode="External"/><Relationship Id="rId20" Type="http://schemas.openxmlformats.org/officeDocument/2006/relationships/hyperlink" Target="https://www.google.com/search?q=VGC+%28Vlaamse+Gemeenschapscommissie%29+Brussels+jobs+vacancies" TargetMode="External"/><Relationship Id="rId21" Type="http://schemas.openxmlformats.org/officeDocument/2006/relationships/hyperlink" Target="https://talent.brussels/" TargetMode="External"/><Relationship Id="rId22" Type="http://schemas.openxmlformats.org/officeDocument/2006/relationships/hyperlink" Target="https://www.google.com/search?q=talent.brussels+Brussels+jobs+vacancies" TargetMode="External"/><Relationship Id="rId23" Type="http://schemas.openxmlformats.org/officeDocument/2006/relationships/hyperlink" Target="https://www.icf.com/careers" TargetMode="External"/><Relationship Id="rId24" Type="http://schemas.openxmlformats.org/officeDocument/2006/relationships/hyperlink" Target="https://www.google.com/search?q=ICF+Next+Brussels+jobs+vacancies" TargetMode="External"/><Relationship Id="rId25" Type="http://schemas.openxmlformats.org/officeDocument/2006/relationships/hyperlink" Target="https://www.mostra.com/" TargetMode="External"/><Relationship Id="rId26" Type="http://schemas.openxmlformats.org/officeDocument/2006/relationships/hyperlink" Target="https://www.google.com/search?q=Mostra+Brussels+jobs+vacancies" TargetMode="External"/><Relationship Id="rId27" Type="http://schemas.openxmlformats.org/officeDocument/2006/relationships/hyperlink" Target="https://www.ogilvy.com/be" TargetMode="External"/><Relationship Id="rId28" Type="http://schemas.openxmlformats.org/officeDocument/2006/relationships/hyperlink" Target="https://www.google.com/search?q=Ogilvy+Social.Lab+Brussels+jobs+vacancies" TargetMode="External"/><Relationship Id="rId29" Type="http://schemas.openxmlformats.org/officeDocument/2006/relationships/hyperlink" Target="https://www.tipik.eu/" TargetMode="External"/><Relationship Id="rId30" Type="http://schemas.openxmlformats.org/officeDocument/2006/relationships/hyperlink" Target="https://www.google.com/search?q=Tipik+%28Sword+Group%29+Brussels+jobs+vacancies" TargetMode="External"/><Relationship Id="rId31" Type="http://schemas.openxmlformats.org/officeDocument/2006/relationships/hyperlink" Target="https://www.bursonglobal.com/careers/" TargetMode="External"/><Relationship Id="rId32" Type="http://schemas.openxmlformats.org/officeDocument/2006/relationships/hyperlink" Target="https://www.google.com/search?q=Burson+%28ex-Hill%2BKnowlton+%2F+BCW%29+Brussels+jobs+vacancies" TargetMode="External"/><Relationship Id="rId33" Type="http://schemas.openxmlformats.org/officeDocument/2006/relationships/hyperlink" Target="https://www.cecoforma.com/" TargetMode="External"/><Relationship Id="rId34" Type="http://schemas.openxmlformats.org/officeDocument/2006/relationships/hyperlink" Target="https://www.google.com/search?q=Cecoforma+Liege+%2F+Brussels+jobs+vacancies" TargetMode="External"/><Relationship Id="rId35" Type="http://schemas.openxmlformats.org/officeDocument/2006/relationships/hyperlink" Target="https://grayling.com/careers/" TargetMode="External"/><Relationship Id="rId36" Type="http://schemas.openxmlformats.org/officeDocument/2006/relationships/hyperlink" Target="https://www.google.com/search?q=Grayling+Brussels+jobs+vacancies+careers" TargetMode="External"/><Relationship Id="rId37" Type="http://schemas.openxmlformats.org/officeDocument/2006/relationships/hyperlink" Target="https://www.acumenpa.com/" TargetMode="External"/><Relationship Id="rId38" Type="http://schemas.openxmlformats.org/officeDocument/2006/relationships/hyperlink" Target="https://www.google.com/search?q=Acumen+Public+Affairs+Brussels+jobs+vacancies" TargetMode="External"/><Relationship Id="rId39" Type="http://schemas.openxmlformats.org/officeDocument/2006/relationships/hyperlink" Target="https://www.aula-europe.eu/" TargetMode="External"/><Relationship Id="rId40" Type="http://schemas.openxmlformats.org/officeDocument/2006/relationships/hyperlink" Target="https://www.google.com/search?q=Aula+Europe+Brussels+jobs+vacancies" TargetMode="External"/><Relationship Id="rId41" Type="http://schemas.openxmlformats.org/officeDocument/2006/relationships/hyperlink" Target="https://www.deloittedigital.com/" TargetMode="External"/><Relationship Id="rId42" Type="http://schemas.openxmlformats.org/officeDocument/2006/relationships/hyperlink" Target="https://www.google.com/search?q=Deloitte+Digital+EU+Brussels+jobs+vacancies" TargetMode="External"/><Relationship Id="rId43" Type="http://schemas.openxmlformats.org/officeDocument/2006/relationships/hyperlink" Target="https://www.edelman.com/careers" TargetMode="External"/><Relationship Id="rId44" Type="http://schemas.openxmlformats.org/officeDocument/2006/relationships/hyperlink" Target="https://www.google.com/search?q=Edelman+Brussels+jobs+vacancies+careers" TargetMode="External"/><Relationship Id="rId45" Type="http://schemas.openxmlformats.org/officeDocument/2006/relationships/hyperlink" Target="https://fticonsulting.com/careers" TargetMode="External"/><Relationship Id="rId46" Type="http://schemas.openxmlformats.org/officeDocument/2006/relationships/hyperlink" Target="https://www.google.com/search?q=FTI+Consulting+Brussels+jobs+vacancies+careers" TargetMode="External"/><Relationship Id="rId47" Type="http://schemas.openxmlformats.org/officeDocument/2006/relationships/hyperlink" Target="https://fleishmanhillard.be/" TargetMode="External"/><Relationship Id="rId48" Type="http://schemas.openxmlformats.org/officeDocument/2006/relationships/hyperlink" Target="https://www.google.com/search?q=FleishmanHillard+Brussels+jobs+vacancies" TargetMode="External"/><Relationship Id="rId49" Type="http://schemas.openxmlformats.org/officeDocument/2006/relationships/hyperlink" Target="https://instinctif.com/careers/" TargetMode="External"/><Relationship Id="rId50" Type="http://schemas.openxmlformats.org/officeDocument/2006/relationships/hyperlink" Target="https://www.google.com/search?q=Instinctif+Partners+Brussels+jobs+vacancies" TargetMode="External"/><Relationship Id="rId51" Type="http://schemas.openxmlformats.org/officeDocument/2006/relationships/hyperlink" Target="https://www.interelgroup.com/" TargetMode="External"/><Relationship Id="rId52" Type="http://schemas.openxmlformats.org/officeDocument/2006/relationships/hyperlink" Target="https://www.google.com/search?q=Interel+Brussels+jobs+vacancies" TargetMode="External"/><Relationship Id="rId53" Type="http://schemas.openxmlformats.org/officeDocument/2006/relationships/hyperlink" Target="https://kreab.com/brussels/" TargetMode="External"/><Relationship Id="rId54" Type="http://schemas.openxmlformats.org/officeDocument/2006/relationships/hyperlink" Target="https://www.google.com/search?q=Kreab+Brussels+jobs+vacancies" TargetMode="External"/><Relationship Id="rId55" Type="http://schemas.openxmlformats.org/officeDocument/2006/relationships/hyperlink" Target="https://www.rudpedersen.com/careers" TargetMode="External"/><Relationship Id="rId56" Type="http://schemas.openxmlformats.org/officeDocument/2006/relationships/hyperlink" Target="https://www.google.com/search?q=Rud+Pedersen+Public+Affairs+Brussels+jobs+vacancies" TargetMode="External"/><Relationship Id="rId57" Type="http://schemas.openxmlformats.org/officeDocument/2006/relationships/hyperlink" Target="https://www.teneo.com/careers/" TargetMode="External"/><Relationship Id="rId58" Type="http://schemas.openxmlformats.org/officeDocument/2006/relationships/hyperlink" Target="https://www.google.com/search?q=Teneo+%2F+Cambre+Brussels+jobs+vacancies" TargetMode="External"/><Relationship Id="rId59" Type="http://schemas.openxmlformats.org/officeDocument/2006/relationships/hyperlink" Target="https://www.wavestone.com/en/careers/" TargetMode="External"/><Relationship Id="rId60" Type="http://schemas.openxmlformats.org/officeDocument/2006/relationships/hyperlink" Target="https://www.google.com/search?q=Wavestone+%28ex-PwC+EU+Services%29+Brussels+jobs+vacancies" TargetMode="External"/><Relationship Id="rId61" Type="http://schemas.openxmlformats.org/officeDocument/2006/relationships/hyperlink" Target="https://webershandwick.com/careers/" TargetMode="External"/><Relationship Id="rId62" Type="http://schemas.openxmlformats.org/officeDocument/2006/relationships/hyperlink" Target="https://www.google.com/search?q=Weber+Shandwick+Brussels+jobs+vacancies+careers" TargetMode="External"/><Relationship Id="rId63" Type="http://schemas.openxmlformats.org/officeDocument/2006/relationships/hyperlink" Target="https://coachingfederation.org/" TargetMode="External"/><Relationship Id="rId64" Type="http://schemas.openxmlformats.org/officeDocument/2006/relationships/hyperlink" Target="https://www.google.com/search?q=Intercultural+training+%2F+DEI+freelance+Brussels+jobs+vacancies" TargetMode="External"/><Relationship Id="rId65" Type="http://schemas.openxmlformats.org/officeDocument/2006/relationships/hyperlink" Target="https://www.schaeffler.com/en/careers/" TargetMode="External"/><Relationship Id="rId66" Type="http://schemas.openxmlformats.org/officeDocument/2006/relationships/hyperlink" Target="https://www.google.com/search?q=Schaeffler+-+European+operations+Herzogenaurach+%2F+Europe+jobs+vacancies" TargetMode="External"/><Relationship Id="rId67" Type="http://schemas.openxmlformats.org/officeDocument/2006/relationships/hyperlink" Target="https://www.britishschool.be/" TargetMode="External"/><Relationship Id="rId68" Type="http://schemas.openxmlformats.org/officeDocument/2006/relationships/hyperlink" Target="https://www.google.com/search?q=British+School+of+Brussels+%28BSB%29+jobs+vacancies+careers" TargetMode="External"/><Relationship Id="rId69" Type="http://schemas.openxmlformats.org/officeDocument/2006/relationships/hyperlink" Target="https://www.eursc.eu/en/European-Schools/recruitment" TargetMode="External"/><Relationship Id="rId70" Type="http://schemas.openxmlformats.org/officeDocument/2006/relationships/hyperlink" Target="https://www.google.com/search?q=European+Schools+%28Brussels+I-IV%29+jobs+vacancies+careers" TargetMode="External"/><Relationship Id="rId71" Type="http://schemas.openxmlformats.org/officeDocument/2006/relationships/hyperlink" Target="https://www.isb.be/" TargetMode="External"/><Relationship Id="rId72" Type="http://schemas.openxmlformats.org/officeDocument/2006/relationships/hyperlink" Target="https://www.google.com/search?q=International+School+of+Brussels+%28ISB%29+jobs+vacancies+careers" TargetMode="External"/><Relationship Id="rId73" Type="http://schemas.openxmlformats.org/officeDocument/2006/relationships/hyperlink" Target="https://www.linkedin.com/jobs" TargetMode="External"/><Relationship Id="rId74" Type="http://schemas.openxmlformats.org/officeDocument/2006/relationships/hyperlink" Target="https://www.google.com/search?q=Multinationals+with+Brussels%2FEU+HQ+%28LatAm-facing%29+jobs+vacancies+careers" TargetMode="External"/><Relationship Id="rId75" Type="http://schemas.openxmlformats.org/officeDocument/2006/relationships/hyperlink" Target="https://www.cncd.be/" TargetMode="External"/><Relationship Id="rId76" Type="http://schemas.openxmlformats.org/officeDocument/2006/relationships/hyperlink" Target="https://www.google.com/search?q=CNCD-11.11.11+Brussels+jobs+vacancies" TargetMode="External"/><Relationship Id="rId77" Type="http://schemas.openxmlformats.org/officeDocument/2006/relationships/hyperlink" Target="https://www.msf-azg.be/en/jobs" TargetMode="External"/><Relationship Id="rId78" Type="http://schemas.openxmlformats.org/officeDocument/2006/relationships/hyperlink" Target="https://www.google.com/search?q=MSF+Operational+Centre+Brussels+%28OCB%29+jobs+vacancies+careers" TargetMode="External"/><Relationship Id="rId79" Type="http://schemas.openxmlformats.org/officeDocument/2006/relationships/hyperlink" Target="https://www.oxfam.org/en/work-us" TargetMode="External"/><Relationship Id="rId80" Type="http://schemas.openxmlformats.org/officeDocument/2006/relationships/hyperlink" Target="https://www.google.com/search?q=Oxfam+EU+Office+Brussels+jobs+vacancies" TargetMode="External"/><Relationship Id="rId81" Type="http://schemas.openxmlformats.org/officeDocument/2006/relationships/hyperlink" Target="https://www.wsm.be/" TargetMode="External"/><Relationship Id="rId82" Type="http://schemas.openxmlformats.org/officeDocument/2006/relationships/hyperlink" Target="https://www.google.com/search?q=WSM+%28Wereldsolidariteit+%2F+Solidarite+Mondiale%29+Brussels+jobs+vacancies" TargetMode="External"/><Relationship Id="rId83" Type="http://schemas.openxmlformats.org/officeDocument/2006/relationships/hyperlink" Target="https://concordeurope.org/vacancies/" TargetMode="External"/><Relationship Id="rId84" Type="http://schemas.openxmlformats.org/officeDocument/2006/relationships/hyperlink" Target="https://www.google.com/search?q=CONCORD+Europe+Brussels+jobs+vacancies" TargetMode="External"/><Relationship Id="rId85" Type="http://schemas.openxmlformats.org/officeDocument/2006/relationships/hyperlink" Target="https://www.enabel.be/jobs/" TargetMode="External"/><Relationship Id="rId86" Type="http://schemas.openxmlformats.org/officeDocument/2006/relationships/hyperlink" Target="https://www.google.com/search?q=Enabel+%28Belgian+Development+Agency%29+Brussels+jobs+vacancies" TargetMode="External"/><Relationship Id="rId87" Type="http://schemas.openxmlformats.org/officeDocument/2006/relationships/hyperlink" Target="https://www.handicapinternational.be/" TargetMode="External"/><Relationship Id="rId88" Type="http://schemas.openxmlformats.org/officeDocument/2006/relationships/hyperlink" Target="https://www.google.com/search?q=Humanity+%26+Inclusion+%2F+Handicap+International+Brussels+jobs+vacancies" TargetMode="External"/><Relationship Id="rId89" Type="http://schemas.openxmlformats.org/officeDocument/2006/relationships/hyperlink" Target="https://kbs-frb.be/en/jobs" TargetMode="External"/><Relationship Id="rId90" Type="http://schemas.openxmlformats.org/officeDocument/2006/relationships/hyperlink" Target="https://www.google.com/search?q=King+Baudouin+Foundation+Brussels+jobs+vacancies" TargetMode="External"/><Relationship Id="rId91" Type="http://schemas.openxmlformats.org/officeDocument/2006/relationships/hyperlink" Target="https://medecinsdumonde.be/" TargetMode="External"/><Relationship Id="rId92" Type="http://schemas.openxmlformats.org/officeDocument/2006/relationships/hyperlink" Target="https://www.google.com/search?q=Medecins+du+Monde+Belgique+Brussels+jobs+vacancies" TargetMode="External"/><Relationship Id="rId93" Type="http://schemas.openxmlformats.org/officeDocument/2006/relationships/hyperlink" Target="https://www.one.org/international/careers/" TargetMode="External"/><Relationship Id="rId94" Type="http://schemas.openxmlformats.org/officeDocument/2006/relationships/hyperlink" Target="https://www.google.com/search?q=ONE+Campaign+Brussels+jobs+vacancies+careers" TargetMode="External"/><Relationship Id="rId95" Type="http://schemas.openxmlformats.org/officeDocument/2006/relationships/hyperlink" Target="https://www.oxfam.be/jobs" TargetMode="External"/><Relationship Id="rId96" Type="http://schemas.openxmlformats.org/officeDocument/2006/relationships/hyperlink" Target="https://www.google.com/search?q=Oxfam+Belgique+%2F+Belgie+Brussels+jobs+vacancies" TargetMode="External"/><Relationship Id="rId97" Type="http://schemas.openxmlformats.org/officeDocument/2006/relationships/hyperlink" Target="https://plan-international.org/eu/" TargetMode="External"/><Relationship Id="rId98" Type="http://schemas.openxmlformats.org/officeDocument/2006/relationships/hyperlink" Target="https://www.google.com/search?q=Plan+International+EU+Office+Brussels+jobs+vacancies" TargetMode="External"/><Relationship Id="rId99" Type="http://schemas.openxmlformats.org/officeDocument/2006/relationships/hyperlink" Target="https://www.savethechildren.net/careers" TargetMode="External"/><Relationship Id="rId100" Type="http://schemas.openxmlformats.org/officeDocument/2006/relationships/hyperlink" Target="https://www.google.com/search?q=Save+the+Children+Europe+Brussels+jobs+vacancies" TargetMode="External"/><Relationship Id="rId101" Type="http://schemas.openxmlformats.org/officeDocument/2006/relationships/hyperlink" Target="https://www.sci.ngo/" TargetMode="External"/><Relationship Id="rId102" Type="http://schemas.openxmlformats.org/officeDocument/2006/relationships/hyperlink" Target="https://www.google.com/search?q=Service+Civil+International+%28SCI%29+-+International+Secretariat+Antwerp+%2F+Belgium+jobs+vacancies" TargetMode="External"/><Relationship Id="rId103" Type="http://schemas.openxmlformats.org/officeDocument/2006/relationships/hyperlink" Target="https://www.terredeshommes.org/" TargetMode="External"/><Relationship Id="rId104" Type="http://schemas.openxmlformats.org/officeDocument/2006/relationships/hyperlink" Target="https://www.google.com/search?q=Terre+des+Hommes+EU+Office+Brussels+jobs+vacancies" TargetMode="External"/><Relationship Id="rId105" Type="http://schemas.openxmlformats.org/officeDocument/2006/relationships/hyperlink" Target="https://www.11.be/" TargetMode="External"/><Relationship Id="rId106" Type="http://schemas.openxmlformats.org/officeDocument/2006/relationships/hyperlink" Target="https://www.google.com/search?q=11.11.11+Brussels+jobs+vacancies" TargetMode="External"/><Relationship Id="rId107" Type="http://schemas.openxmlformats.org/officeDocument/2006/relationships/hyperlink" Target="https://www.actiondamien.be/" TargetMode="External"/><Relationship Id="rId108" Type="http://schemas.openxmlformats.org/officeDocument/2006/relationships/hyperlink" Target="https://www.google.com/search?q=Action+Damien+%2F+Damiaanactie+Brussels+jobs+vacancies" TargetMode="External"/><Relationship Id="rId109" Type="http://schemas.openxmlformats.org/officeDocument/2006/relationships/hyperlink" Target="https://actionaid.eu/" TargetMode="External"/><Relationship Id="rId110" Type="http://schemas.openxmlformats.org/officeDocument/2006/relationships/hyperlink" Target="https://www.google.com/search?q=ActionAid+EU+Brussels+jobs+vacancies" TargetMode="External"/><Relationship Id="rId111" Type="http://schemas.openxmlformats.org/officeDocument/2006/relationships/hyperlink" Target="https://diplomatie.belgium.be/en/jobs" TargetMode="External"/><Relationship Id="rId112" Type="http://schemas.openxmlformats.org/officeDocument/2006/relationships/hyperlink" Target="https://www.google.com/search?q=DGD+%28Belgian+Development+Cooperation%2C+FPS+Foreign+Affairs%29+Brussels+jobs+vacancies" TargetMode="External"/><Relationship Id="rId113" Type="http://schemas.openxmlformats.org/officeDocument/2006/relationships/hyperlink" Target="https://echoscommunication.org/" TargetMode="External"/><Relationship Id="rId114" Type="http://schemas.openxmlformats.org/officeDocument/2006/relationships/hyperlink" Target="https://www.google.com/search?q=Echos+Communication+Brussels+jobs+vacancies" TargetMode="External"/><Relationship Id="rId115" Type="http://schemas.openxmlformats.org/officeDocument/2006/relationships/hyperlink" Target="https://www.fairtradebelgium.be/" TargetMode="External"/><Relationship Id="rId116" Type="http://schemas.openxmlformats.org/officeDocument/2006/relationships/hyperlink" Target="https://www.google.com/search?q=Fairtrade+Belgium+Brussels+jobs+vacancies" TargetMode="External"/><Relationship Id="rId117" Type="http://schemas.openxmlformats.org/officeDocument/2006/relationships/hyperlink" Target="https://www.fairtrade.net/about/careers" TargetMode="External"/><Relationship Id="rId118" Type="http://schemas.openxmlformats.org/officeDocument/2006/relationships/hyperlink" Target="https://www.google.com/search?q=Fairtrade+International+Bonn+jobs+vacancies" TargetMode="External"/><Relationship Id="rId119" Type="http://schemas.openxmlformats.org/officeDocument/2006/relationships/hyperlink" Target="https://www.light-for-the-world.org/jobs/" TargetMode="External"/><Relationship Id="rId120" Type="http://schemas.openxmlformats.org/officeDocument/2006/relationships/hyperlink" Target="https://www.google.com/search?q=Light+for+the+World+Brussels+jobs+vacancies" TargetMode="External"/><Relationship Id="rId121" Type="http://schemas.openxmlformats.org/officeDocument/2006/relationships/hyperlink" Target="https://msfaccess.org/" TargetMode="External"/><Relationship Id="rId122" Type="http://schemas.openxmlformats.org/officeDocument/2006/relationships/hyperlink" Target="https://www.google.com/search?q=MSF+Access+Campaign+Geneva+%2F+Brussels+jobs+vacancies" TargetMode="External"/><Relationship Id="rId123" Type="http://schemas.openxmlformats.org/officeDocument/2006/relationships/hyperlink" Target="https://www.memisa.be/" TargetMode="External"/><Relationship Id="rId124" Type="http://schemas.openxmlformats.org/officeDocument/2006/relationships/hyperlink" Target="https://www.google.com/search?q=Memisa+Brussels+jobs+vacancies" TargetMode="External"/><Relationship Id="rId125" Type="http://schemas.openxmlformats.org/officeDocument/2006/relationships/hyperlink" Target="https://www.trocaire.org/jobs/" TargetMode="External"/><Relationship Id="rId126" Type="http://schemas.openxmlformats.org/officeDocument/2006/relationships/hyperlink" Target="https://www.google.com/search?q=Trocaire+EU+Office+Brussels+jobs+vacancies" TargetMode="External"/><Relationship Id="rId127" Type="http://schemas.openxmlformats.org/officeDocument/2006/relationships/hyperlink" Target="https://voiceeu.org/" TargetMode="External"/><Relationship Id="rId128" Type="http://schemas.openxmlformats.org/officeDocument/2006/relationships/hyperlink" Target="https://www.google.com/search?q=VOICE+Brussels+jobs+vacancies" TargetMode="External"/><Relationship Id="rId129" Type="http://schemas.openxmlformats.org/officeDocument/2006/relationships/hyperlink" Target="https://www.wveurope.org/" TargetMode="External"/><Relationship Id="rId130" Type="http://schemas.openxmlformats.org/officeDocument/2006/relationships/hyperlink" Target="https://www.google.com/search?q=World+Vision+Brussels+jobs+vacancies+careers" TargetMode="External"/><Relationship Id="rId131" Type="http://schemas.openxmlformats.org/officeDocument/2006/relationships/hyperlink" Target="https://traineeships.ec.europa.eu/" TargetMode="External"/><Relationship Id="rId132" Type="http://schemas.openxmlformats.org/officeDocument/2006/relationships/hyperlink" Target="https://www.google.com/search?q=Blue+Book+Traineeship+%28European+Commission%29+Brussels+%2F+Luxembourg+jobs+vacancies" TargetMode="External"/><Relationship Id="rId133" Type="http://schemas.openxmlformats.org/officeDocument/2006/relationships/hyperlink" Target="https://eu-careers.europa.eu/en/job-opportunities/open-for-application" TargetMode="External"/><Relationship Id="rId134" Type="http://schemas.openxmlformats.org/officeDocument/2006/relationships/hyperlink" Target="https://www.google.com/search?q=CAST+Permanent+%28EPSO%29+Brussels+%2F+Luxembourg+jobs+vacancies" TargetMode="External"/><Relationship Id="rId135" Type="http://schemas.openxmlformats.org/officeDocument/2006/relationships/hyperlink" Target="https://commission.europa.eu/about/departments-and-executive-agencies/communication_en" TargetMode="External"/><Relationship Id="rId136" Type="http://schemas.openxmlformats.org/officeDocument/2006/relationships/hyperlink" Target="https://www.google.com/search?q=DG+COMM+%28European+Commission%29+Brussels+jobs+vacancies" TargetMode="External"/><Relationship Id="rId137" Type="http://schemas.openxmlformats.org/officeDocument/2006/relationships/hyperlink" Target="https://international-partnerships.ec.europa.eu/" TargetMode="External"/><Relationship Id="rId138" Type="http://schemas.openxmlformats.org/officeDocument/2006/relationships/hyperlink" Target="https://www.google.com/search?q=DG+INTPA+%28International+Partnerships%29+Brussels+jobs+vacancies" TargetMode="External"/><Relationship Id="rId139" Type="http://schemas.openxmlformats.org/officeDocument/2006/relationships/hyperlink" Target="https://www.eeas.europa.eu/eeas/vacancies_en" TargetMode="External"/><Relationship Id="rId140" Type="http://schemas.openxmlformats.org/officeDocument/2006/relationships/hyperlink" Target="https://www.google.com/search?q=EEAS+-+Americas+Division+Brussels+jobs+vacancies" TargetMode="External"/><Relationship Id="rId141" Type="http://schemas.openxmlformats.org/officeDocument/2006/relationships/hyperlink" Target="https://www.eeas.europa.eu/mexico_en" TargetMode="External"/><Relationship Id="rId142" Type="http://schemas.openxmlformats.org/officeDocument/2006/relationships/hyperlink" Target="https://www.google.com/search?q=EU+Delegation+to+Mexico+Mexico+City+jobs+vacancies" TargetMode="External"/><Relationship Id="rId143" Type="http://schemas.openxmlformats.org/officeDocument/2006/relationships/hyperlink" Target="https://www.eeas.europa.eu/eeas/call-expression-interest-junior-professionals-delegation-jpd-programme-2026-2028_en" TargetMode="External"/><Relationship Id="rId144" Type="http://schemas.openxmlformats.org/officeDocument/2006/relationships/hyperlink" Target="https://www.google.com/search?q=Junior+Professionals+in+Delegation+%28JPD%29+145+EU+Delegations+worldwide+jobs+vacancies" TargetMode="External"/><Relationship Id="rId145" Type="http://schemas.openxmlformats.org/officeDocument/2006/relationships/hyperlink" Target="https://www.europarl.europa.eu/committees/en/afet/home" TargetMode="External"/><Relationship Id="rId146" Type="http://schemas.openxmlformats.org/officeDocument/2006/relationships/hyperlink" Target="https://www.google.com/search?q=MEP+offices+-+AFET+committee+members+Brussels+jobs+vacancies" TargetMode="External"/><Relationship Id="rId147" Type="http://schemas.openxmlformats.org/officeDocument/2006/relationships/hyperlink" Target="https://www.europarl.europa.eu/committees/en/deve/home" TargetMode="External"/><Relationship Id="rId148" Type="http://schemas.openxmlformats.org/officeDocument/2006/relationships/hyperlink" Target="https://www.google.com/search?q=MEP+offices+-+DEVE+committee+members+Brussels+jobs+vacancies" TargetMode="External"/><Relationship Id="rId149" Type="http://schemas.openxmlformats.org/officeDocument/2006/relationships/hyperlink" Target="https://www.europarl.europa.eu/committees/en/droi/home" TargetMode="External"/><Relationship Id="rId150" Type="http://schemas.openxmlformats.org/officeDocument/2006/relationships/hyperlink" Target="https://www.google.com/search?q=MEP+offices+-+DROI+subcommittee+members+Brussels+jobs+vacancies" TargetMode="External"/><Relationship Id="rId151" Type="http://schemas.openxmlformats.org/officeDocument/2006/relationships/hyperlink" Target="https://www.europarl.europa.eu/committees/en/libe/home" TargetMode="External"/><Relationship Id="rId152" Type="http://schemas.openxmlformats.org/officeDocument/2006/relationships/hyperlink" Target="https://www.google.com/search?q=MEP+offices+-+LIBE+committee+members+Brussels+jobs+vacancies" TargetMode="External"/><Relationship Id="rId153" Type="http://schemas.openxmlformats.org/officeDocument/2006/relationships/hyperlink" Target="https://civil-protection-humanitarian-aid.ec.europa.eu/" TargetMode="External"/><Relationship Id="rId154" Type="http://schemas.openxmlformats.org/officeDocument/2006/relationships/hyperlink" Target="https://www.google.com/search?q=DG+ECHO+%28Humanitarian+Aid%29+Brussels+jobs+vacancies" TargetMode="External"/><Relationship Id="rId155" Type="http://schemas.openxmlformats.org/officeDocument/2006/relationships/hyperlink" Target="https://home-affairs.ec.europa.eu/" TargetMode="External"/><Relationship Id="rId156" Type="http://schemas.openxmlformats.org/officeDocument/2006/relationships/hyperlink" Target="https://www.google.com/search?q=DG+HOME+Brussels+jobs+vacancies" TargetMode="External"/><Relationship Id="rId157" Type="http://schemas.openxmlformats.org/officeDocument/2006/relationships/hyperlink" Target="https://www.greens-efa.eu/en/jobs" TargetMode="External"/><Relationship Id="rId158" Type="http://schemas.openxmlformats.org/officeDocument/2006/relationships/hyperlink" Target="https://www.google.com/search?q=European+Parliament+-+Greens%2FEFA+Brussels+jobs+vacancies" TargetMode="External"/><Relationship Id="rId159" Type="http://schemas.openxmlformats.org/officeDocument/2006/relationships/hyperlink" Target="https://www.socialistsanddemocrats.eu/vacancies" TargetMode="External"/><Relationship Id="rId160" Type="http://schemas.openxmlformats.org/officeDocument/2006/relationships/hyperlink" Target="https://www.google.com/search?q=European+Parliament+-+S%26D+Group+Brussels+jobs+vacancies" TargetMode="External"/><Relationship Id="rId161" Type="http://schemas.openxmlformats.org/officeDocument/2006/relationships/hyperlink" Target="https://www.europarl.europa.eu/traineeships/en/" TargetMode="External"/><Relationship Id="rId162" Type="http://schemas.openxmlformats.org/officeDocument/2006/relationships/hyperlink" Target="https://www.google.com/search?q=European+Parliament+-+Schuman+Traineeship+Brussels+%2F+Luxembourg+jobs+vacancies" TargetMode="External"/><Relationship Id="rId163" Type="http://schemas.openxmlformats.org/officeDocument/2006/relationships/hyperlink" Target="https://left.eu/vacancies/" TargetMode="External"/><Relationship Id="rId164" Type="http://schemas.openxmlformats.org/officeDocument/2006/relationships/hyperlink" Target="https://www.google.com/search?q=European+Parliament+-+The+Left+%28GUE%2FNGL%29+Brussels+jobs+vacancies" TargetMode="External"/><Relationship Id="rId165" Type="http://schemas.openxmlformats.org/officeDocument/2006/relationships/hyperlink" Target="https://health.ec.europa.eu/" TargetMode="External"/><Relationship Id="rId166" Type="http://schemas.openxmlformats.org/officeDocument/2006/relationships/hyperlink" Target="https://www.google.com/search?q=DG+SANTE+Brussels+jobs+vacancies" TargetMode="External"/><Relationship Id="rId167" Type="http://schemas.openxmlformats.org/officeDocument/2006/relationships/hyperlink" Target="https://eige.europa.eu/about/recruitment" TargetMode="External"/><Relationship Id="rId168" Type="http://schemas.openxmlformats.org/officeDocument/2006/relationships/hyperlink" Target="https://www.google.com/search?q=EIGE+%28European+Institute+for+Gender+Equality%29+Vilnius+jobs+vacancies" TargetMode="External"/><Relationship Id="rId169" Type="http://schemas.openxmlformats.org/officeDocument/2006/relationships/hyperlink" Target="https://eu-careers.europa.eu/en/job-opportunities/upcoming-opportunities" TargetMode="External"/><Relationship Id="rId170" Type="http://schemas.openxmlformats.org/officeDocument/2006/relationships/hyperlink" Target="https://www.google.com/search?q=EPSO+-+International+affairs+specialists+competition+Brussels+jobs+vacancies" TargetMode="External"/><Relationship Id="rId171" Type="http://schemas.openxmlformats.org/officeDocument/2006/relationships/hyperlink" Target="https://eu-careers.europa.eu/" TargetMode="External"/><Relationship Id="rId172" Type="http://schemas.openxmlformats.org/officeDocument/2006/relationships/hyperlink" Target="https://www.google.com/search?q=EPSO+AD5+Graduates+Brussels+jobs+vacancies" TargetMode="External"/><Relationship Id="rId173" Type="http://schemas.openxmlformats.org/officeDocument/2006/relationships/hyperlink" Target="https://fra.europa.eu/en/about-fra/recruitment" TargetMode="External"/><Relationship Id="rId174" Type="http://schemas.openxmlformats.org/officeDocument/2006/relationships/hyperlink" Target="https://www.google.com/search?q=EU+Agency+for+Fundamental+Rights+%28FRA%29+Vienna+jobs+vacancies" TargetMode="External"/><Relationship Id="rId175" Type="http://schemas.openxmlformats.org/officeDocument/2006/relationships/hyperlink" Target="https://www.eeas.europa.eu/colombia_en" TargetMode="External"/><Relationship Id="rId176" Type="http://schemas.openxmlformats.org/officeDocument/2006/relationships/hyperlink" Target="https://www.google.com/search?q=EU+Delegation+to+Colombia+Bogota+jobs+vacancies" TargetMode="External"/><Relationship Id="rId177" Type="http://schemas.openxmlformats.org/officeDocument/2006/relationships/hyperlink" Target="https://euaa.europa.eu/careers" TargetMode="External"/><Relationship Id="rId178" Type="http://schemas.openxmlformats.org/officeDocument/2006/relationships/hyperlink" Target="https://www.google.com/search?q=EUAA+%28EU+Agency+for+Asylum%29+Malta+%2B+Brussels+liaison+jobs+vacancies" TargetMode="External"/><Relationship Id="rId179" Type="http://schemas.openxmlformats.org/officeDocument/2006/relationships/hyperlink" Target="https://www.eppgroup.eu/" TargetMode="External"/><Relationship Id="rId180" Type="http://schemas.openxmlformats.org/officeDocument/2006/relationships/hyperlink" Target="https://www.google.com/search?q=European+Parliament+-+EPP+Group+Brussels+jobs+vacancies" TargetMode="External"/><Relationship Id="rId181" Type="http://schemas.openxmlformats.org/officeDocument/2006/relationships/hyperlink" Target="https://www.europarl.europa.eu/thinktank/en/home" TargetMode="External"/><Relationship Id="rId182" Type="http://schemas.openxmlformats.org/officeDocument/2006/relationships/hyperlink" Target="https://www.google.com/search?q=European+Parliament+-+EPRS+Brussels+jobs+vacancies" TargetMode="External"/><Relationship Id="rId183" Type="http://schemas.openxmlformats.org/officeDocument/2006/relationships/hyperlink" Target="https://www.reneweuropegroup.eu/" TargetMode="External"/><Relationship Id="rId184" Type="http://schemas.openxmlformats.org/officeDocument/2006/relationships/hyperlink" Target="https://www.google.com/search?q=European+Parliament+-+Renew+Europe+Brussels+jobs+vacancies" TargetMode="External"/><Relationship Id="rId185" Type="http://schemas.openxmlformats.org/officeDocument/2006/relationships/hyperlink" Target="https://frontex.europa.eu/careers/" TargetMode="External"/><Relationship Id="rId186" Type="http://schemas.openxmlformats.org/officeDocument/2006/relationships/hyperlink" Target="https://www.google.com/search?q=Frontex+Warsaw+%2B+Brussels+liaison+jobs+vacancies" TargetMode="External"/><Relationship Id="rId187" Type="http://schemas.openxmlformats.org/officeDocument/2006/relationships/hyperlink" Target="https://op.europa.eu/" TargetMode="External"/><Relationship Id="rId188" Type="http://schemas.openxmlformats.org/officeDocument/2006/relationships/hyperlink" Target="https://www.google.com/search?q=Publications+Office+%2F+EU+Newsroom+Luxembourg+jobs+vacancies" TargetMode="External"/><Relationship Id="rId189" Type="http://schemas.openxmlformats.org/officeDocument/2006/relationships/hyperlink" Target="https://epha.org/vacancies/" TargetMode="External"/><Relationship Id="rId190" Type="http://schemas.openxmlformats.org/officeDocument/2006/relationships/hyperlink" Target="https://www.google.com/search?q=EPHA+%28European+Public+Health+Alliance%29+Brussels+jobs+vacancies" TargetMode="External"/><Relationship Id="rId191" Type="http://schemas.openxmlformats.org/officeDocument/2006/relationships/hyperlink" Target="https://www.ghadvocates.eu/" TargetMode="External"/><Relationship Id="rId192" Type="http://schemas.openxmlformats.org/officeDocument/2006/relationships/hyperlink" Target="https://www.google.com/search?q=Global+Health+Advocates+Brussels+jobs+vacancies" TargetMode="External"/><Relationship Id="rId193" Type="http://schemas.openxmlformats.org/officeDocument/2006/relationships/hyperlink" Target="https://www.itg.be/E/vacancies" TargetMode="External"/><Relationship Id="rId194" Type="http://schemas.openxmlformats.org/officeDocument/2006/relationships/hyperlink" Target="https://www.google.com/search?q=Institute+of+Tropical+Medicine+%28ITM%29+Antwerp+jobs+vacancies" TargetMode="External"/><Relationship Id="rId195" Type="http://schemas.openxmlformats.org/officeDocument/2006/relationships/hyperlink" Target="https://www.eu-patient.eu/" TargetMode="External"/><Relationship Id="rId196" Type="http://schemas.openxmlformats.org/officeDocument/2006/relationships/hyperlink" Target="https://www.google.com/search?q=European+Patients%27+Forum+Brussels+jobs+vacancies" TargetMode="External"/><Relationship Id="rId197" Type="http://schemas.openxmlformats.org/officeDocument/2006/relationships/hyperlink" Target="https://www.mhe-sme.org/" TargetMode="External"/><Relationship Id="rId198" Type="http://schemas.openxmlformats.org/officeDocument/2006/relationships/hyperlink" Target="https://www.google.com/search?q=Mental+Health+Europe+Brussels+jobs+vacancies" TargetMode="External"/><Relationship Id="rId199" Type="http://schemas.openxmlformats.org/officeDocument/2006/relationships/hyperlink" Target="https://www.sciensano.be/en/jobs" TargetMode="External"/><Relationship Id="rId200" Type="http://schemas.openxmlformats.org/officeDocument/2006/relationships/hyperlink" Target="https://www.google.com/search?q=Sciensano+Brussels+jobs+vacancies" TargetMode="External"/><Relationship Id="rId201" Type="http://schemas.openxmlformats.org/officeDocument/2006/relationships/hyperlink" Target="https://www.amnesty.eu/jobs/" TargetMode="External"/><Relationship Id="rId202" Type="http://schemas.openxmlformats.org/officeDocument/2006/relationships/hyperlink" Target="https://www.google.com/search?q=Amnesty+International+EU+Office+Brussels+jobs+vacancies" TargetMode="External"/><Relationship Id="rId203" Type="http://schemas.openxmlformats.org/officeDocument/2006/relationships/hyperlink" Target="https://www.eapn.eu/" TargetMode="External"/><Relationship Id="rId204" Type="http://schemas.openxmlformats.org/officeDocument/2006/relationships/hyperlink" Target="https://www.google.com/search?q=EAPN+%28European+Anti-Poverty+Network%29+Brussels+jobs+vacancies" TargetMode="External"/><Relationship Id="rId205" Type="http://schemas.openxmlformats.org/officeDocument/2006/relationships/hyperlink" Target="https://womenlobby.org/" TargetMode="External"/><Relationship Id="rId206" Type="http://schemas.openxmlformats.org/officeDocument/2006/relationships/hyperlink" Target="https://www.google.com/search?q=European+Women%27s+Lobby+Brussels+jobs+vacancies" TargetMode="External"/><Relationship Id="rId207" Type="http://schemas.openxmlformats.org/officeDocument/2006/relationships/hyperlink" Target="https://www.fidh.org/en/get-involved/join-us/" TargetMode="External"/><Relationship Id="rId208" Type="http://schemas.openxmlformats.org/officeDocument/2006/relationships/hyperlink" Target="https://www.google.com/search?q=FIDH+EU+Office+Brussels+jobs+vacancies" TargetMode="External"/><Relationship Id="rId209" Type="http://schemas.openxmlformats.org/officeDocument/2006/relationships/hyperlink" Target="https://protectdefenders.eu/" TargetMode="External"/><Relationship Id="rId210" Type="http://schemas.openxmlformats.org/officeDocument/2006/relationships/hyperlink" Target="https://www.google.com/search?q=ProtectDefenders.eu+Brussels+jobs+vacancies" TargetMode="External"/><Relationship Id="rId211" Type="http://schemas.openxmlformats.org/officeDocument/2006/relationships/hyperlink" Target="https://www.amnesty.be/" TargetMode="External"/><Relationship Id="rId212" Type="http://schemas.openxmlformats.org/officeDocument/2006/relationships/hyperlink" Target="https://www.google.com/search?q=Amnesty+International+Belgique+francophone+Brussels+jobs+vacancies" TargetMode="External"/><Relationship Id="rId213" Type="http://schemas.openxmlformats.org/officeDocument/2006/relationships/hyperlink" Target="https://www.enar-eu.org/" TargetMode="External"/><Relationship Id="rId214" Type="http://schemas.openxmlformats.org/officeDocument/2006/relationships/hyperlink" Target="https://www.google.com/search?q=ENAR+%28European+Network+Against+Racism%29+Brussels+jobs+vacancies" TargetMode="External"/><Relationship Id="rId215" Type="http://schemas.openxmlformats.org/officeDocument/2006/relationships/hyperlink" Target="https://www.frontlinedefenders.org/en/vacancies" TargetMode="External"/><Relationship Id="rId216" Type="http://schemas.openxmlformats.org/officeDocument/2006/relationships/hyperlink" Target="https://www.google.com/search?q=Front+Line+Defenders+-+EU+Office+Brussels+jobs+vacancies" TargetMode="External"/><Relationship Id="rId217" Type="http://schemas.openxmlformats.org/officeDocument/2006/relationships/hyperlink" Target="https://www.hrw.org/careers" TargetMode="External"/><Relationship Id="rId218" Type="http://schemas.openxmlformats.org/officeDocument/2006/relationships/hyperlink" Target="https://www.google.com/search?q=Human+Rights+Watch+Brussels+jobs+vacancies+careers" TargetMode="External"/><Relationship Id="rId219" Type="http://schemas.openxmlformats.org/officeDocument/2006/relationships/hyperlink" Target="https://www.ilga-europe.org/who-we-are/jobs/" TargetMode="External"/><Relationship Id="rId220" Type="http://schemas.openxmlformats.org/officeDocument/2006/relationships/hyperlink" Target="https://www.google.com/search?q=ILGA-Europe+Brussels+jobs+vacancies" TargetMode="External"/><Relationship Id="rId221" Type="http://schemas.openxmlformats.org/officeDocument/2006/relationships/hyperlink" Target="https://www.ippfen.org/" TargetMode="External"/><Relationship Id="rId222" Type="http://schemas.openxmlformats.org/officeDocument/2006/relationships/hyperlink" Target="https://www.google.com/search?q=IPPF+European+Network+Brussels+jobs+vacancies" TargetMode="External"/><Relationship Id="rId223" Type="http://schemas.openxmlformats.org/officeDocument/2006/relationships/hyperlink" Target="https://igvm-iefh.belgium.be/" TargetMode="External"/><Relationship Id="rId224" Type="http://schemas.openxmlformats.org/officeDocument/2006/relationships/hyperlink" Target="https://www.google.com/search?q=Institut+pour+l%27egalite+des+femmes+et+des+hommes+Brussels+jobs+vacancies" TargetMode="External"/><Relationship Id="rId225" Type="http://schemas.openxmlformats.org/officeDocument/2006/relationships/hyperlink" Target="https://www.omct.org/" TargetMode="External"/><Relationship Id="rId226" Type="http://schemas.openxmlformats.org/officeDocument/2006/relationships/hyperlink" Target="https://www.google.com/search?q=OMCT+Europe+%28World+Organisation+Against+Torture%29+Brussels+%2F+Geneva+jobs+vacancies" TargetMode="External"/><Relationship Id="rId227" Type="http://schemas.openxmlformats.org/officeDocument/2006/relationships/hyperlink" Target="https://www.opensocietyfoundations.org/careers" TargetMode="External"/><Relationship Id="rId228" Type="http://schemas.openxmlformats.org/officeDocument/2006/relationships/hyperlink" Target="https://www.google.com/search?q=Open+Society+European+Policy+Institute+Brussels+jobs+vacancies" TargetMode="External"/><Relationship Id="rId229" Type="http://schemas.openxmlformats.org/officeDocument/2006/relationships/hyperlink" Target="https://rsf.org/" TargetMode="External"/><Relationship Id="rId230" Type="http://schemas.openxmlformats.org/officeDocument/2006/relationships/hyperlink" Target="https://www.google.com/search?q=Reporters+Without+Borders+%28RSF%29+Brussels+%2F+Paris+jobs+vacancies" TargetMode="External"/><Relationship Id="rId231" Type="http://schemas.openxmlformats.org/officeDocument/2006/relationships/hyperlink" Target="https://www.socialplatform.org/" TargetMode="External"/><Relationship Id="rId232" Type="http://schemas.openxmlformats.org/officeDocument/2006/relationships/hyperlink" Target="https://www.google.com/search?q=Social+Platform+Brussels+jobs+vacancies" TargetMode="External"/><Relationship Id="rId233" Type="http://schemas.openxmlformats.org/officeDocument/2006/relationships/hyperlink" Target="https://www.viefeminine.be/" TargetMode="External"/><Relationship Id="rId234" Type="http://schemas.openxmlformats.org/officeDocument/2006/relationships/hyperlink" Target="https://www.google.com/search?q=Vie+Feminine+Brussels+jobs+vacancies" TargetMode="External"/><Relationship Id="rId235" Type="http://schemas.openxmlformats.org/officeDocument/2006/relationships/hyperlink" Target="https://www.age-platform.eu/" TargetMode="External"/><Relationship Id="rId236" Type="http://schemas.openxmlformats.org/officeDocument/2006/relationships/hyperlink" Target="https://www.google.com/search?q=AGE+Platform+Europe+Brussels+jobs+vacancies" TargetMode="External"/><Relationship Id="rId237" Type="http://schemas.openxmlformats.org/officeDocument/2006/relationships/hyperlink" Target="https://amazone.be/" TargetMode="External"/><Relationship Id="rId238" Type="http://schemas.openxmlformats.org/officeDocument/2006/relationships/hyperlink" Target="https://www.google.com/search?q=Amazone+asbl+Brussels+jobs+vacancies" TargetMode="External"/><Relationship Id="rId239" Type="http://schemas.openxmlformats.org/officeDocument/2006/relationships/hyperlink" Target="https://www.bepax.org/" TargetMode="External"/><Relationship Id="rId240" Type="http://schemas.openxmlformats.org/officeDocument/2006/relationships/hyperlink" Target="https://www.google.com/search?q=BePax+Brussels+jobs+vacancies" TargetMode="External"/><Relationship Id="rId241" Type="http://schemas.openxmlformats.org/officeDocument/2006/relationships/hyperlink" Target="https://ergonetwork.org/" TargetMode="External"/><Relationship Id="rId242" Type="http://schemas.openxmlformats.org/officeDocument/2006/relationships/hyperlink" Target="https://www.google.com/search?q=ERGO+Network+Brussels+jobs+vacancies" TargetMode="External"/><Relationship Id="rId243" Type="http://schemas.openxmlformats.org/officeDocument/2006/relationships/hyperlink" Target="https://equineteurope.org/" TargetMode="External"/><Relationship Id="rId244" Type="http://schemas.openxmlformats.org/officeDocument/2006/relationships/hyperlink" Target="https://www.google.com/search?q=Equinet+Brussels+jobs+vacancies" TargetMode="External"/><Relationship Id="rId245" Type="http://schemas.openxmlformats.org/officeDocument/2006/relationships/hyperlink" Target="https://eurochild.org/vacancies/" TargetMode="External"/><Relationship Id="rId246" Type="http://schemas.openxmlformats.org/officeDocument/2006/relationships/hyperlink" Target="https://www.google.com/search?q=Eurochild+Brussels+jobs+vacancies" TargetMode="External"/><Relationship Id="rId247" Type="http://schemas.openxmlformats.org/officeDocument/2006/relationships/hyperlink" Target="https://www.edf-feph.org/" TargetMode="External"/><Relationship Id="rId248" Type="http://schemas.openxmlformats.org/officeDocument/2006/relationships/hyperlink" Target="https://www.google.com/search?q=European+Disability+Forum+Brussels+jobs+vacancies" TargetMode="External"/><Relationship Id="rId249" Type="http://schemas.openxmlformats.org/officeDocument/2006/relationships/hyperlink" Target="http://www.errc.org/" TargetMode="External"/><Relationship Id="rId250" Type="http://schemas.openxmlformats.org/officeDocument/2006/relationships/hyperlink" Target="https://www.google.com/search?q=European+Roma+Rights+Centre+Brussels+jobs+vacancies" TargetMode="External"/><Relationship Id="rId251" Type="http://schemas.openxmlformats.org/officeDocument/2006/relationships/hyperlink" Target="https://www.feantsa.org/" TargetMode="External"/><Relationship Id="rId252" Type="http://schemas.openxmlformats.org/officeDocument/2006/relationships/hyperlink" Target="https://www.google.com/search?q=FEANTSA+Brussels+jobs+vacancies" TargetMode="External"/><Relationship Id="rId253" Type="http://schemas.openxmlformats.org/officeDocument/2006/relationships/hyperlink" Target="https://www.fairtrials.org/jobs/" TargetMode="External"/><Relationship Id="rId254" Type="http://schemas.openxmlformats.org/officeDocument/2006/relationships/hyperlink" Target="https://www.google.com/search?q=Fair+Trials+Brussels+%2F+London+jobs+vacancies" TargetMode="External"/><Relationship Id="rId255" Type="http://schemas.openxmlformats.org/officeDocument/2006/relationships/hyperlink" Target="https://www.globalwitness.org/en/jobs/" TargetMode="External"/><Relationship Id="rId256" Type="http://schemas.openxmlformats.org/officeDocument/2006/relationships/hyperlink" Target="https://www.google.com/search?q=Global+Witness+Brussels+%2F+London+jobs+vacancies" TargetMode="External"/><Relationship Id="rId257" Type="http://schemas.openxmlformats.org/officeDocument/2006/relationships/hyperlink" Target="https://www.mrax.be/" TargetMode="External"/><Relationship Id="rId258" Type="http://schemas.openxmlformats.org/officeDocument/2006/relationships/hyperlink" Target="https://www.google.com/search?q=MRAX+Brussels+jobs+vacancies" TargetMode="External"/><Relationship Id="rId259" Type="http://schemas.openxmlformats.org/officeDocument/2006/relationships/hyperlink" Target="https://www.iom.int/careers" TargetMode="External"/><Relationship Id="rId260" Type="http://schemas.openxmlformats.org/officeDocument/2006/relationships/hyperlink" Target="https://www.google.com/search?q=IOM+-+Regional+Office+Brussels+jobs+vacancies+careers" TargetMode="External"/><Relationship Id="rId261" Type="http://schemas.openxmlformats.org/officeDocument/2006/relationships/hyperlink" Target="https://www.nato.int/cps/en/natohq/recruitment.htm" TargetMode="External"/><Relationship Id="rId262" Type="http://schemas.openxmlformats.org/officeDocument/2006/relationships/hyperlink" Target="https://www.google.com/search?q=NATO+HQ+-+Public+Diplomacy+Division+Brussels+%28Evere%29+jobs+vacancies" TargetMode="External"/><Relationship Id="rId263" Type="http://schemas.openxmlformats.org/officeDocument/2006/relationships/hyperlink" Target="https://www.unhcr.org/careers" TargetMode="External"/><Relationship Id="rId264" Type="http://schemas.openxmlformats.org/officeDocument/2006/relationships/hyperlink" Target="https://www.google.com/search?q=UNHCR+-+Representation+to+the+EU+Brussels+jobs+vacancies" TargetMode="External"/><Relationship Id="rId265" Type="http://schemas.openxmlformats.org/officeDocument/2006/relationships/hyperlink" Target="https://www.icrc.org/en/careers" TargetMode="External"/><Relationship Id="rId266" Type="http://schemas.openxmlformats.org/officeDocument/2006/relationships/hyperlink" Target="https://www.google.com/search?q=ICRC+-+Delegation+to+the+EU%2FNATO+Brussels+jobs+vacancies" TargetMode="External"/><Relationship Id="rId267" Type="http://schemas.openxmlformats.org/officeDocument/2006/relationships/hyperlink" Target="https://www.ohchr.org/en/work-with-us" TargetMode="External"/><Relationship Id="rId268" Type="http://schemas.openxmlformats.org/officeDocument/2006/relationships/hyperlink" Target="https://www.google.com/search?q=OHCHR+-+Europe+Regional+Office+Brussels+jobs+vacancies" TargetMode="External"/><Relationship Id="rId269" Type="http://schemas.openxmlformats.org/officeDocument/2006/relationships/hyperlink" Target="https://www.unwomen.org/en/about-us/employment" TargetMode="External"/><Relationship Id="rId270" Type="http://schemas.openxmlformats.org/officeDocument/2006/relationships/hyperlink" Target="https://www.google.com/search?q=UN+Women+Brussels+jobs+vacancies+careers" TargetMode="External"/><Relationship Id="rId271" Type="http://schemas.openxmlformats.org/officeDocument/2006/relationships/hyperlink" Target="https://jobs.undp.org/" TargetMode="External"/><Relationship Id="rId272" Type="http://schemas.openxmlformats.org/officeDocument/2006/relationships/hyperlink" Target="https://www.google.com/search?q=UNDP+Brussels+jobs+vacancies+careers" TargetMode="External"/><Relationship Id="rId273" Type="http://schemas.openxmlformats.org/officeDocument/2006/relationships/hyperlink" Target="https://www.unicef.org/careers" TargetMode="External"/><Relationship Id="rId274" Type="http://schemas.openxmlformats.org/officeDocument/2006/relationships/hyperlink" Target="https://www.google.com/search?q=UNICEF+Brussels+jobs+vacancies+careers" TargetMode="External"/><Relationship Id="rId275" Type="http://schemas.openxmlformats.org/officeDocument/2006/relationships/hyperlink" Target="https://unric.org/" TargetMode="External"/><Relationship Id="rId276" Type="http://schemas.openxmlformats.org/officeDocument/2006/relationships/hyperlink" Target="https://www.google.com/search?q=UNRIC+%28UN+Regional+Information+Centre%29+Brussels+jobs+vacancies" TargetMode="External"/><Relationship Id="rId277" Type="http://schemas.openxmlformats.org/officeDocument/2006/relationships/hyperlink" Target="https://www.coe.int/en/web/jobs" TargetMode="External"/><Relationship Id="rId278" Type="http://schemas.openxmlformats.org/officeDocument/2006/relationships/hyperlink" Target="https://www.google.com/search?q=Council+of+Europe+-+Liaison+Office+Brussels+jobs+vacancies" TargetMode="External"/><Relationship Id="rId279" Type="http://schemas.openxmlformats.org/officeDocument/2006/relationships/hyperlink" Target="https://www.fao.org/employment" TargetMode="External"/><Relationship Id="rId280" Type="http://schemas.openxmlformats.org/officeDocument/2006/relationships/hyperlink" Target="https://www.google.com/search?q=FAO+Liaison+Office+Brussels+jobs+vacancies" TargetMode="External"/><Relationship Id="rId281" Type="http://schemas.openxmlformats.org/officeDocument/2006/relationships/hyperlink" Target="https://www.ifrc.org/jobs" TargetMode="External"/><Relationship Id="rId282" Type="http://schemas.openxmlformats.org/officeDocument/2006/relationships/hyperlink" Target="https://www.google.com/search?q=IFRC+Europe+%2F+Brussels+jobs+vacancies+careers" TargetMode="External"/><Relationship Id="rId283" Type="http://schemas.openxmlformats.org/officeDocument/2006/relationships/hyperlink" Target="https://www.ilo.org/brussels" TargetMode="External"/><Relationship Id="rId284" Type="http://schemas.openxmlformats.org/officeDocument/2006/relationships/hyperlink" Target="https://www.google.com/search?q=ILO+Office+for+the+EU+Brussels+jobs+vacancies" TargetMode="External"/><Relationship Id="rId285" Type="http://schemas.openxmlformats.org/officeDocument/2006/relationships/hyperlink" Target="https://www.nato.int/cps/en/natohq/recruitment.htm" TargetMode="External"/><Relationship Id="rId286" Type="http://schemas.openxmlformats.org/officeDocument/2006/relationships/hyperlink" Target="https://www.google.com/search?q=NATO+HQ+-+Emerging+Security+Challenges+Brussels+%28Evere%29+jobs+vacancies" TargetMode="External"/><Relationship Id="rId287" Type="http://schemas.openxmlformats.org/officeDocument/2006/relationships/hyperlink" Target="https://www.unocha.org/careers" TargetMode="External"/><Relationship Id="rId288" Type="http://schemas.openxmlformats.org/officeDocument/2006/relationships/hyperlink" Target="https://www.google.com/search?q=OCHA+Brussels+%28Liaison%29+jobs+vacancies+careers" TargetMode="External"/><Relationship Id="rId289" Type="http://schemas.openxmlformats.org/officeDocument/2006/relationships/hyperlink" Target="https://careers.unesco.org/" TargetMode="External"/><Relationship Id="rId290" Type="http://schemas.openxmlformats.org/officeDocument/2006/relationships/hyperlink" Target="https://www.google.com/search?q=UNESCO+Liaison+Office+Brussels+jobs+vacancies" TargetMode="External"/><Relationship Id="rId291" Type="http://schemas.openxmlformats.org/officeDocument/2006/relationships/hyperlink" Target="https://www.unfpa.org/jobs" TargetMode="External"/><Relationship Id="rId292" Type="http://schemas.openxmlformats.org/officeDocument/2006/relationships/hyperlink" Target="https://www.google.com/search?q=UNFPA+Brussels+jobs+vacancies+careers" TargetMode="External"/><Relationship Id="rId293" Type="http://schemas.openxmlformats.org/officeDocument/2006/relationships/hyperlink" Target="https://www.wfp.org/careers" TargetMode="External"/><Relationship Id="rId294" Type="http://schemas.openxmlformats.org/officeDocument/2006/relationships/hyperlink" Target="https://www.google.com/search?q=WFP+Brussels+jobs+vacancies+careers" TargetMode="External"/><Relationship Id="rId295" Type="http://schemas.openxmlformats.org/officeDocument/2006/relationships/hyperlink" Target="https://www.worldbank.org/en/about/careers" TargetMode="External"/><Relationship Id="rId296" Type="http://schemas.openxmlformats.org/officeDocument/2006/relationships/hyperlink" Target="https://www.google.com/search?q=World+Bank+-+Brussels+Office+jobs+vacancies+careers" TargetMode="External"/><Relationship Id="rId297" Type="http://schemas.openxmlformats.org/officeDocument/2006/relationships/hyperlink" Target="https://www.broederlijkdelen.be/nl/vacatures" TargetMode="External"/><Relationship Id="rId298" Type="http://schemas.openxmlformats.org/officeDocument/2006/relationships/hyperlink" Target="https://www.google.com/search?q=Broederlijk+Delen+Brussels+jobs+vacancies" TargetMode="External"/><Relationship Id="rId299" Type="http://schemas.openxmlformats.org/officeDocument/2006/relationships/hyperlink" Target="https://cifca.org/" TargetMode="External"/><Relationship Id="rId300" Type="http://schemas.openxmlformats.org/officeDocument/2006/relationships/hyperlink" Target="https://www.google.com/search?q=CIFCA+%28Copenhagen+Initiative+for+Central+America+and+Mexico%29+Brussels+jobs+vacancies" TargetMode="External"/><Relationship Id="rId301" Type="http://schemas.openxmlformats.org/officeDocument/2006/relationships/hyperlink" Target="https://embamex.sre.gob.mx/belgica/" TargetMode="External"/><Relationship Id="rId302" Type="http://schemas.openxmlformats.org/officeDocument/2006/relationships/hyperlink" Target="https://www.google.com/search?q=Embassy+of+Mexico+in+Belgium+Brussels+jobs+vacancies" TargetMode="External"/><Relationship Id="rId303" Type="http://schemas.openxmlformats.org/officeDocument/2006/relationships/hyperlink" Target="https://entraide.be/" TargetMode="External"/><Relationship Id="rId304" Type="http://schemas.openxmlformats.org/officeDocument/2006/relationships/hyperlink" Target="https://www.google.com/search?q=Entraide+et+Fraternite+Brussels+jobs+vacancies" TargetMode="External"/><Relationship Id="rId305" Type="http://schemas.openxmlformats.org/officeDocument/2006/relationships/hyperlink" Target="https://www.mondefemmes.org/" TargetMode="External"/><Relationship Id="rId306" Type="http://schemas.openxmlformats.org/officeDocument/2006/relationships/hyperlink" Target="https://www.google.com/search?q=Le+Monde+selon+les+Femmes+Brussels+jobs+vacancies" TargetMode="External"/><Relationship Id="rId307" Type="http://schemas.openxmlformats.org/officeDocument/2006/relationships/hyperlink" Target="https://www.gob.mx/sre" TargetMode="External"/><Relationship Id="rId308" Type="http://schemas.openxmlformats.org/officeDocument/2006/relationships/hyperlink" Target="https://www.google.com/search?q=Mexican+Mission+to+the+EU+Brussels+jobs+vacancies" TargetMode="External"/><Relationship Id="rId309" Type="http://schemas.openxmlformats.org/officeDocument/2006/relationships/hyperlink" Target="https://www.oidhaco.org/" TargetMode="External"/><Relationship Id="rId310" Type="http://schemas.openxmlformats.org/officeDocument/2006/relationships/hyperlink" Target="https://www.google.com/search?q=OIDHACO+%28Oficina+Internacional+de+Derechos+Humanos+-+Accion+Colombia%29+Brussels+jobs+vacancies" TargetMode="External"/><Relationship Id="rId311" Type="http://schemas.openxmlformats.org/officeDocument/2006/relationships/hyperlink" Target="https://www.peacebrigades.org/" TargetMode="External"/><Relationship Id="rId312" Type="http://schemas.openxmlformats.org/officeDocument/2006/relationships/hyperlink" Target="https://www.google.com/search?q=Peace+Brigades+International+-+European+Office+Brussels+jobs+vacancies" TargetMode="External"/><Relationship Id="rId313" Type="http://schemas.openxmlformats.org/officeDocument/2006/relationships/hyperlink" Target="https://www.protectioninternational.org/vacancies/" TargetMode="External"/><Relationship Id="rId314" Type="http://schemas.openxmlformats.org/officeDocument/2006/relationships/hyperlink" Target="https://www.google.com/search?q=Protection+International+Brussels+jobs+vacancies" TargetMode="External"/><Relationship Id="rId315" Type="http://schemas.openxmlformats.org/officeDocument/2006/relationships/hyperlink" Target="https://www.rikolto.org/jobs" TargetMode="External"/><Relationship Id="rId316" Type="http://schemas.openxmlformats.org/officeDocument/2006/relationships/hyperlink" Target="https://www.google.com/search?q=Rikolto+%28ex-Vredeseilanden%29+Leuven+%2F+Brussels+jobs+vacancies" TargetMode="External"/><Relationship Id="rId317" Type="http://schemas.openxmlformats.org/officeDocument/2006/relationships/hyperlink" Target="https://www.sosfaim.be/" TargetMode="External"/><Relationship Id="rId318" Type="http://schemas.openxmlformats.org/officeDocument/2006/relationships/hyperlink" Target="https://www.google.com/search?q=SOS+Faim+Brussels+jobs+vacancies" TargetMode="External"/><Relationship Id="rId319" Type="http://schemas.openxmlformats.org/officeDocument/2006/relationships/hyperlink" Target="https://www.wbi.be/" TargetMode="External"/><Relationship Id="rId320" Type="http://schemas.openxmlformats.org/officeDocument/2006/relationships/hyperlink" Target="https://www.google.com/search?q=Wallonie-Bruxelles+International+%28WBI%29+Brussels+jobs+vacancies" TargetMode="External"/><Relationship Id="rId321" Type="http://schemas.openxmlformats.org/officeDocument/2006/relationships/hyperlink" Target="https://www.justicepaix.be/" TargetMode="External"/><Relationship Id="rId322" Type="http://schemas.openxmlformats.org/officeDocument/2006/relationships/hyperlink" Target="https://www.google.com/search?q=Commission+Justice+et+Paix+%28Belgique+francophone%29+Brussels+jobs+vacancies" TargetMode="External"/><Relationship Id="rId323" Type="http://schemas.openxmlformats.org/officeDocument/2006/relationships/hyperlink" Target="https://eulacfoundation.org/" TargetMode="External"/><Relationship Id="rId324" Type="http://schemas.openxmlformats.org/officeDocument/2006/relationships/hyperlink" Target="https://www.google.com/search?q=EU-LAC+Foundation+Hamburg+jobs+vacancies" TargetMode="External"/><Relationship Id="rId325" Type="http://schemas.openxmlformats.org/officeDocument/2006/relationships/hyperlink" Target="https://www.eclosio.ong/" TargetMode="External"/><Relationship Id="rId326" Type="http://schemas.openxmlformats.org/officeDocument/2006/relationships/hyperlink" Target="https://www.google.com/search?q=Eclosio+%28ULiege+NGO%29+Liege+%2F+Brussels+jobs+vacancies" TargetMode="External"/><Relationship Id="rId327" Type="http://schemas.openxmlformats.org/officeDocument/2006/relationships/hyperlink" Target="https://www.fos.ngo/" TargetMode="External"/><Relationship Id="rId328" Type="http://schemas.openxmlformats.org/officeDocument/2006/relationships/hyperlink" Target="https://www.google.com/search?q=FOS+%28Socialistische+Solidariteit%29+Brussels+jobs+vacancies" TargetMode="External"/><Relationship Id="rId329" Type="http://schemas.openxmlformats.org/officeDocument/2006/relationships/hyperlink" Target="https://www.ilesdepaix.org/" TargetMode="External"/><Relationship Id="rId330" Type="http://schemas.openxmlformats.org/officeDocument/2006/relationships/hyperlink" Target="https://www.google.com/search?q=Iles+de+Paix+Huy+%2F+Brussels+jobs+vacancies" TargetMode="External"/><Relationship Id="rId331" Type="http://schemas.openxmlformats.org/officeDocument/2006/relationships/hyperlink" Target="https://bruselas.cervantes.es/" TargetMode="External"/><Relationship Id="rId332" Type="http://schemas.openxmlformats.org/officeDocument/2006/relationships/hyperlink" Target="https://www.google.com/search?q=Instituto+Cervantes+Bruselas+Brussels+jobs+vacancies" TargetMode="External"/><Relationship Id="rId333" Type="http://schemas.openxmlformats.org/officeDocument/2006/relationships/hyperlink" Target="https://www.louvaincooperation.org/" TargetMode="External"/><Relationship Id="rId334" Type="http://schemas.openxmlformats.org/officeDocument/2006/relationships/hyperlink" Target="https://www.google.com/search?q=Louvain+Cooperation+%28UCLouvain+NGO%29+Louvain-la-Neuve+jobs+vacancies" TargetMode="External"/><Relationship Id="rId335" Type="http://schemas.openxmlformats.org/officeDocument/2006/relationships/hyperlink" Target="https://ebelg.cancilleria.gob.ar/" TargetMode="External"/><Relationship Id="rId336" Type="http://schemas.openxmlformats.org/officeDocument/2006/relationships/hyperlink" Target="https://www.google.com/search?q=Mission+of+Argentina+to+the+EU+Brussels+jobs+vacancies" TargetMode="External"/><Relationship Id="rId337" Type="http://schemas.openxmlformats.org/officeDocument/2006/relationships/hyperlink" Target="https://www.gov.br/mre/pt-br" TargetMode="External"/><Relationship Id="rId338" Type="http://schemas.openxmlformats.org/officeDocument/2006/relationships/hyperlink" Target="https://www.google.com/search?q=Mission+of+Brazil+to+the+EU+Brussels+jobs+vacancies" TargetMode="External"/><Relationship Id="rId339" Type="http://schemas.openxmlformats.org/officeDocument/2006/relationships/hyperlink" Target="https://www.chile.gob.cl/belgica/" TargetMode="External"/><Relationship Id="rId340" Type="http://schemas.openxmlformats.org/officeDocument/2006/relationships/hyperlink" Target="https://www.google.com/search?q=Mission+of+Chile+to+the+EU+Brussels+jobs+vacancies" TargetMode="External"/><Relationship Id="rId341" Type="http://schemas.openxmlformats.org/officeDocument/2006/relationships/hyperlink" Target="https://belgica.embajada.gov.co/" TargetMode="External"/><Relationship Id="rId342" Type="http://schemas.openxmlformats.org/officeDocument/2006/relationships/hyperlink" Target="https://www.google.com/search?q=Mission+of+Colombia+to+the+EU+Brussels+jobs+vacancies" TargetMode="External"/><Relationship Id="rId343" Type="http://schemas.openxmlformats.org/officeDocument/2006/relationships/hyperlink" Target="https://www.gob.pe/rree" TargetMode="External"/><Relationship Id="rId344" Type="http://schemas.openxmlformats.org/officeDocument/2006/relationships/hyperlink" Target="https://www.google.com/search?q=Mission+of+Peru+to+the+EU+Brussels+jobs+vacancies" TargetMode="External"/><Relationship Id="rId345" Type="http://schemas.openxmlformats.org/officeDocument/2006/relationships/hyperlink" Target="https://www.quinoa.be/" TargetMode="External"/><Relationship Id="rId346" Type="http://schemas.openxmlformats.org/officeDocument/2006/relationships/hyperlink" Target="https://www.google.com/search?q=Quinoa+asbl+Brussels+jobs+vacancies" TargetMode="External"/><Relationship Id="rId347" Type="http://schemas.openxmlformats.org/officeDocument/2006/relationships/hyperlink" Target="https://www.trias.ngo/" TargetMode="External"/><Relationship Id="rId348" Type="http://schemas.openxmlformats.org/officeDocument/2006/relationships/hyperlink" Target="https://www.google.com/search?q=Trias+Brussels+jobs+vacancies" TargetMode="External"/><Relationship Id="rId349" Type="http://schemas.openxmlformats.org/officeDocument/2006/relationships/hyperlink" Target="https://www.fundacioncarolina.es/" TargetMode="External"/><Relationship Id="rId350" Type="http://schemas.openxmlformats.org/officeDocument/2006/relationships/hyperlink" Target="https://www.google.com/search?q=Fundacion+Carolina+Madrid+jobs+vacancies" TargetMode="External"/><Relationship Id="rId351" Type="http://schemas.openxmlformats.org/officeDocument/2006/relationships/hyperlink" Target="https://www.realinstitutoelcano.org/" TargetMode="External"/><Relationship Id="rId352" Type="http://schemas.openxmlformats.org/officeDocument/2006/relationships/hyperlink" Target="https://www.google.com/search?q=Real+Instituto+Elcano+Madrid+jobs+vacancies" TargetMode="External"/><Relationship Id="rId353" Type="http://schemas.openxmlformats.org/officeDocument/2006/relationships/hyperlink" Target="https://www.exteriores.gob.es/RepresentacionesPermanentes/EspanaUE" TargetMode="External"/><Relationship Id="rId354" Type="http://schemas.openxmlformats.org/officeDocument/2006/relationships/hyperlink" Target="https://www.google.com/search?q=Spanish+Permanent+Representation+to+the+EU+Brussels+jobs+vacancies" TargetMode="External"/><Relationship Id="rId355" Type="http://schemas.openxmlformats.org/officeDocument/2006/relationships/hyperlink" Target="https://www.vivasalud.be/" TargetMode="External"/><Relationship Id="rId356" Type="http://schemas.openxmlformats.org/officeDocument/2006/relationships/hyperlink" Target="https://www.google.com/search?q=Viva+Salud+Brussels+jobs+vacancies" TargetMode="External"/><Relationship Id="rId357" Type="http://schemas.openxmlformats.org/officeDocument/2006/relationships/hyperlink" Target="https://hub.brussels/" TargetMode="External"/><Relationship Id="rId358" Type="http://schemas.openxmlformats.org/officeDocument/2006/relationships/hyperlink" Target="https://www.google.com/search?q=hub.brussels+%2F+AWEX+-+LatAm+desks+Brussels+jobs+vacancies" TargetMode="External"/><Relationship Id="rId359" Type="http://schemas.openxmlformats.org/officeDocument/2006/relationships/hyperlink" Target="https://www.euractiv.com/" TargetMode="External"/><Relationship Id="rId360" Type="http://schemas.openxmlformats.org/officeDocument/2006/relationships/hyperlink" Target="https://www.google.com/search?q=Euractiv+Brussels+jobs+vacancies" TargetMode="External"/><Relationship Id="rId361" Type="http://schemas.openxmlformats.org/officeDocument/2006/relationships/hyperlink" Target="https://agenceurope.eu/" TargetMode="External"/><Relationship Id="rId362" Type="http://schemas.openxmlformats.org/officeDocument/2006/relationships/hyperlink" Target="https://www.google.com/search?q=Agence+Europe+Brussels+jobs+vacancies" TargetMode="External"/><Relationship Id="rId363" Type="http://schemas.openxmlformats.org/officeDocument/2006/relationships/hyperlink" Target="https://www.belga.be/" TargetMode="External"/><Relationship Id="rId364" Type="http://schemas.openxmlformats.org/officeDocument/2006/relationships/hyperlink" Target="https://www.google.com/search?q=Belga+News+Agency+Brussels+jobs+vacancies" TargetMode="External"/><Relationship Id="rId365" Type="http://schemas.openxmlformats.org/officeDocument/2006/relationships/hyperlink" Target="https://euobserver.com/" TargetMode="External"/><Relationship Id="rId366" Type="http://schemas.openxmlformats.org/officeDocument/2006/relationships/hyperlink" Target="https://www.google.com/search?q=EUobserver+Brussels+jobs+vacancies" TargetMode="External"/><Relationship Id="rId367" Type="http://schemas.openxmlformats.org/officeDocument/2006/relationships/hyperlink" Target="https://www.politico.eu/careers/" TargetMode="External"/><Relationship Id="rId368" Type="http://schemas.openxmlformats.org/officeDocument/2006/relationships/hyperlink" Target="https://www.google.com/search?q=Politico+Europe+Brussels+jobs+vacancies" TargetMode="External"/><Relationship Id="rId369" Type="http://schemas.openxmlformats.org/officeDocument/2006/relationships/hyperlink" Target="https://www.rtbf.be/" TargetMode="External"/><Relationship Id="rId370" Type="http://schemas.openxmlformats.org/officeDocument/2006/relationships/hyperlink" Target="https://www.google.com/search?q=RTBF+Brussels+jobs+vacancies" TargetMode="External"/><Relationship Id="rId371" Type="http://schemas.openxmlformats.org/officeDocument/2006/relationships/hyperlink" Target="https://www.brusselstimes.com/" TargetMode="External"/><Relationship Id="rId372" Type="http://schemas.openxmlformats.org/officeDocument/2006/relationships/hyperlink" Target="https://www.google.com/search?q=The+Brussels+Times+jobs+vacancies+careers" TargetMode="External"/><Relationship Id="rId373" Type="http://schemas.openxmlformats.org/officeDocument/2006/relationships/hyperlink" Target="https://www.vrt.be/nl/jobs/" TargetMode="External"/><Relationship Id="rId374" Type="http://schemas.openxmlformats.org/officeDocument/2006/relationships/hyperlink" Target="https://www.google.com/search?q=VRT+Brussels+jobs+vacancies" TargetMode="External"/><Relationship Id="rId375" Type="http://schemas.openxmlformats.org/officeDocument/2006/relationships/hyperlink" Target="https://www.caritas.eu/jobs/" TargetMode="External"/><Relationship Id="rId376" Type="http://schemas.openxmlformats.org/officeDocument/2006/relationships/hyperlink" Target="https://www.google.com/search?q=Caritas+Europa+Brussels+jobs+vacancies" TargetMode="External"/><Relationship Id="rId377" Type="http://schemas.openxmlformats.org/officeDocument/2006/relationships/hyperlink" Target="https://ecre.org/vacancies/" TargetMode="External"/><Relationship Id="rId378" Type="http://schemas.openxmlformats.org/officeDocument/2006/relationships/hyperlink" Target="https://www.google.com/search?q=ECRE+Brussels+jobs+vacancies" TargetMode="External"/><Relationship Id="rId379" Type="http://schemas.openxmlformats.org/officeDocument/2006/relationships/hyperlink" Target="https://jrseurope.org/vacancies/" TargetMode="External"/><Relationship Id="rId380" Type="http://schemas.openxmlformats.org/officeDocument/2006/relationships/hyperlink" Target="https://www.google.com/search?q=Jesuit+Refugee+Service+Europe+Brussels+jobs+vacancies" TargetMode="External"/><Relationship Id="rId381" Type="http://schemas.openxmlformats.org/officeDocument/2006/relationships/hyperlink" Target="https://www.migrationpolicy.org/about/careers" TargetMode="External"/><Relationship Id="rId382" Type="http://schemas.openxmlformats.org/officeDocument/2006/relationships/hyperlink" Target="https://www.google.com/search?q=Migration+Policy+Institute+Europe+Brussels+jobs+vacancies" TargetMode="External"/><Relationship Id="rId383" Type="http://schemas.openxmlformats.org/officeDocument/2006/relationships/hyperlink" Target="https://picum.org/vacancies/" TargetMode="External"/><Relationship Id="rId384" Type="http://schemas.openxmlformats.org/officeDocument/2006/relationships/hyperlink" Target="https://www.google.com/search?q=PICUM+Brussels+jobs+vacancies" TargetMode="External"/><Relationship Id="rId385" Type="http://schemas.openxmlformats.org/officeDocument/2006/relationships/hyperlink" Target="https://bapa.brussels/" TargetMode="External"/><Relationship Id="rId386" Type="http://schemas.openxmlformats.org/officeDocument/2006/relationships/hyperlink" Target="https://www.google.com/search?q=BAPA+%28Bureaux+d%27Accueil+pour+Primo-Arrivants%29+Brussels+jobs+vacancies" TargetMode="External"/><Relationship Id="rId387" Type="http://schemas.openxmlformats.org/officeDocument/2006/relationships/hyperlink" Target="https://www.cgra.be/" TargetMode="External"/><Relationship Id="rId388" Type="http://schemas.openxmlformats.org/officeDocument/2006/relationships/hyperlink" Target="https://www.google.com/search?q=CGRA+%2F+CGVS+%28Refugees+%26+Stateless+Persons%29+Brussels+jobs+vacancies" TargetMode="External"/><Relationship Id="rId389" Type="http://schemas.openxmlformats.org/officeDocument/2006/relationships/hyperlink" Target="https://www.cire.be/" TargetMode="External"/><Relationship Id="rId390" Type="http://schemas.openxmlformats.org/officeDocument/2006/relationships/hyperlink" Target="https://www.google.com/search?q=CIRE+Brussels+jobs+vacancies" TargetMode="External"/><Relationship Id="rId391" Type="http://schemas.openxmlformats.org/officeDocument/2006/relationships/hyperlink" Target="https://www.caritasinternational.be/" TargetMode="External"/><Relationship Id="rId392" Type="http://schemas.openxmlformats.org/officeDocument/2006/relationships/hyperlink" Target="https://www.google.com/search?q=Caritas+International+Belgium+Brussels+jobs+vacancies" TargetMode="External"/><Relationship Id="rId393" Type="http://schemas.openxmlformats.org/officeDocument/2006/relationships/hyperlink" Target="https://www.convivial.be/" TargetMode="External"/><Relationship Id="rId394" Type="http://schemas.openxmlformats.org/officeDocument/2006/relationships/hyperlink" Target="https://www.google.com/search?q=Convivial+Brussels+jobs+vacancies" TargetMode="External"/><Relationship Id="rId395" Type="http://schemas.openxmlformats.org/officeDocument/2006/relationships/hyperlink" Target="https://www.fedasil.be/en/jobs" TargetMode="External"/><Relationship Id="rId396" Type="http://schemas.openxmlformats.org/officeDocument/2006/relationships/hyperlink" Target="https://www.google.com/search?q=Fedasil+Brussels+jobs+vacancies" TargetMode="External"/><Relationship Id="rId397" Type="http://schemas.openxmlformats.org/officeDocument/2006/relationships/hyperlink" Target="https://www.foyer.be/" TargetMode="External"/><Relationship Id="rId398" Type="http://schemas.openxmlformats.org/officeDocument/2006/relationships/hyperlink" Target="https://www.google.com/search?q=Foyer+vzw+Molenbeek+jobs+vacancies" TargetMode="External"/><Relationship Id="rId399" Type="http://schemas.openxmlformats.org/officeDocument/2006/relationships/hyperlink" Target="https://www.icmpd.org/jobs" TargetMode="External"/><Relationship Id="rId400" Type="http://schemas.openxmlformats.org/officeDocument/2006/relationships/hyperlink" Target="https://www.google.com/search?q=ICMPD+Vienna+%2B+Brussels+jobs+vacancies" TargetMode="External"/><Relationship Id="rId401" Type="http://schemas.openxmlformats.org/officeDocument/2006/relationships/hyperlink" Target="https://www.myria.be/" TargetMode="External"/><Relationship Id="rId402" Type="http://schemas.openxmlformats.org/officeDocument/2006/relationships/hyperlink" Target="https://www.google.com/search?q=Myria+%28Federal+Migration+Centre%29+Brussels+jobs+vacancies" TargetMode="External"/><Relationship Id="rId403" Type="http://schemas.openxmlformats.org/officeDocument/2006/relationships/hyperlink" Target="https://www.bxlrefugees.be/" TargetMode="External"/><Relationship Id="rId404" Type="http://schemas.openxmlformats.org/officeDocument/2006/relationships/hyperlink" Target="https://www.google.com/search?q=Plateforme+Citoyenne+de+Soutien+aux+Refugies+%28BelRefugees%29+Brussels+jobs+vacancies" TargetMode="External"/><Relationship Id="rId405" Type="http://schemas.openxmlformats.org/officeDocument/2006/relationships/hyperlink" Target="https://redcross.eu/" TargetMode="External"/><Relationship Id="rId406" Type="http://schemas.openxmlformats.org/officeDocument/2006/relationships/hyperlink" Target="https://www.google.com/search?q=Red+Cross+EU+Office+Brussels+jobs+vacancies" TargetMode="External"/><Relationship Id="rId407" Type="http://schemas.openxmlformats.org/officeDocument/2006/relationships/hyperlink" Target="https://www.solidar.org/" TargetMode="External"/><Relationship Id="rId408" Type="http://schemas.openxmlformats.org/officeDocument/2006/relationships/hyperlink" Target="https://www.google.com/search?q=SOLIDAR+Brussels+jobs+vacancies" TargetMode="External"/><Relationship Id="rId409" Type="http://schemas.openxmlformats.org/officeDocument/2006/relationships/hyperlink" Target="https://www.unia.be/" TargetMode="External"/><Relationship Id="rId410" Type="http://schemas.openxmlformats.org/officeDocument/2006/relationships/hyperlink" Target="https://www.google.com/search?q=Unia+%28Equality+Body%29+Brussels+jobs+vacancies" TargetMode="External"/><Relationship Id="rId411" Type="http://schemas.openxmlformats.org/officeDocument/2006/relationships/hyperlink" Target="https://www.integratie-inburgering.be/" TargetMode="External"/><Relationship Id="rId412" Type="http://schemas.openxmlformats.org/officeDocument/2006/relationships/hyperlink" Target="https://www.google.com/search?q=Agentschap+Integratie+en+Inburgering+Brussels+jobs+vacancies" TargetMode="External"/><Relationship Id="rId413" Type="http://schemas.openxmlformats.org/officeDocument/2006/relationships/hyperlink" Target="https://ccme.eu/" TargetMode="External"/><Relationship Id="rId414" Type="http://schemas.openxmlformats.org/officeDocument/2006/relationships/hyperlink" Target="https://www.google.com/search?q=CCME+%28Churches%27+Commission+for+Migrants+in+Europe%29+Brussels+jobs+vacancies" TargetMode="External"/><Relationship Id="rId415" Type="http://schemas.openxmlformats.org/officeDocument/2006/relationships/hyperlink" Target="https://home-affairs.ec.europa.eu/networks/european-migration-network_en" TargetMode="External"/><Relationship Id="rId416" Type="http://schemas.openxmlformats.org/officeDocument/2006/relationships/hyperlink" Target="https://www.google.com/search?q=European+Migration+Network+%28EMN%29+Brussels+jobs+vacancies" TargetMode="External"/><Relationship Id="rId417" Type="http://schemas.openxmlformats.org/officeDocument/2006/relationships/hyperlink" Target="https://www.statelessness.eu/" TargetMode="External"/><Relationship Id="rId418" Type="http://schemas.openxmlformats.org/officeDocument/2006/relationships/hyperlink" Target="https://www.google.com/search?q=European+Network+on+Statelessness+London+%2F+Brussels+jobs+vacancies" TargetMode="External"/><Relationship Id="rId419" Type="http://schemas.openxmlformats.org/officeDocument/2006/relationships/hyperlink" Target="https://www.lastradainternational.org/" TargetMode="External"/><Relationship Id="rId420" Type="http://schemas.openxmlformats.org/officeDocument/2006/relationships/hyperlink" Target="https://www.google.com/search?q=La+Strada+International+Amsterdam+jobs+vacancies" TargetMode="External"/><Relationship Id="rId421" Type="http://schemas.openxmlformats.org/officeDocument/2006/relationships/hyperlink" Target="https://mentorescale.be/" TargetMode="External"/><Relationship Id="rId422" Type="http://schemas.openxmlformats.org/officeDocument/2006/relationships/hyperlink" Target="https://www.google.com/search?q=Mentor-Escale+Brussels+jobs+vacancies" TargetMode="External"/><Relationship Id="rId423" Type="http://schemas.openxmlformats.org/officeDocument/2006/relationships/hyperlink" Target="https://missingchildreneurope.eu/" TargetMode="External"/><Relationship Id="rId424" Type="http://schemas.openxmlformats.org/officeDocument/2006/relationships/hyperlink" Target="https://www.google.com/search?q=Missing+Children+Europe+Brussels+jobs+vacancies" TargetMode="External"/><Relationship Id="rId425" Type="http://schemas.openxmlformats.org/officeDocument/2006/relationships/hyperlink" Target="https://dofi.ibz.be/" TargetMode="External"/><Relationship Id="rId426" Type="http://schemas.openxmlformats.org/officeDocument/2006/relationships/hyperlink" Target="https://www.google.com/search?q=Office+des+Etrangers+%2F+Dienst+Vreemdelingenzaken+Brussels+jobs+vacancies" TargetMode="External"/><Relationship Id="rId427" Type="http://schemas.openxmlformats.org/officeDocument/2006/relationships/hyperlink" Target="https://www.vluchtelingenwerk.be/vacatures" TargetMode="External"/><Relationship Id="rId428" Type="http://schemas.openxmlformats.org/officeDocument/2006/relationships/hyperlink" Target="https://www.google.com/search?q=Vluchtelingenwerk+Vlaanderen+Brussels+jobs+vacancies" TargetMode="External"/><Relationship Id="rId429" Type="http://schemas.openxmlformats.org/officeDocument/2006/relationships/hyperlink" Target="https://www.crisisgroup.org/careers" TargetMode="External"/><Relationship Id="rId430" Type="http://schemas.openxmlformats.org/officeDocument/2006/relationships/hyperlink" Target="https://www.google.com/search?q=International+Crisis+Group+Brussels+jobs+vacancies" TargetMode="External"/><Relationship Id="rId431" Type="http://schemas.openxmlformats.org/officeDocument/2006/relationships/hyperlink" Target="https://paxchristi.net/" TargetMode="External"/><Relationship Id="rId432" Type="http://schemas.openxmlformats.org/officeDocument/2006/relationships/hyperlink" Target="https://www.google.com/search?q=Pax+Christi+International+Brussels+jobs+vacancies" TargetMode="External"/><Relationship Id="rId433" Type="http://schemas.openxmlformats.org/officeDocument/2006/relationships/hyperlink" Target="https://www.sfcg.org/careers/" TargetMode="External"/><Relationship Id="rId434" Type="http://schemas.openxmlformats.org/officeDocument/2006/relationships/hyperlink" Target="https://www.google.com/search?q=Search+for+Common+Ground+-+European+HQ+Brussels+jobs+vacancies" TargetMode="External"/><Relationship Id="rId435" Type="http://schemas.openxmlformats.org/officeDocument/2006/relationships/hyperlink" Target="https://eplo.org/" TargetMode="External"/><Relationship Id="rId436" Type="http://schemas.openxmlformats.org/officeDocument/2006/relationships/hyperlink" Target="https://www.google.com/search?q=EPLO+%28European+Peacebuilding+Liaison+Office%29+Brussels+jobs+vacancies" TargetMode="External"/><Relationship Id="rId437" Type="http://schemas.openxmlformats.org/officeDocument/2006/relationships/hyperlink" Target="https://www.iss.europa.eu/" TargetMode="External"/><Relationship Id="rId438" Type="http://schemas.openxmlformats.org/officeDocument/2006/relationships/hyperlink" Target="https://www.google.com/search?q=EUISS+%28EU+Institute+for+Security+Studies%29+Paris+%2F+Brussels+jobs+vacancies" TargetMode="External"/><Relationship Id="rId439" Type="http://schemas.openxmlformats.org/officeDocument/2006/relationships/hyperlink" Target="https://grip.org/" TargetMode="External"/><Relationship Id="rId440" Type="http://schemas.openxmlformats.org/officeDocument/2006/relationships/hyperlink" Target="https://www.google.com/search?q=GRIP+%28Groupe+de+recherche+et+d%27information+sur+la+paix%29+Brussels+jobs+vacancies" TargetMode="External"/><Relationship Id="rId441" Type="http://schemas.openxmlformats.org/officeDocument/2006/relationships/hyperlink" Target="https://www.international-alert.org/jobs/" TargetMode="External"/><Relationship Id="rId442" Type="http://schemas.openxmlformats.org/officeDocument/2006/relationships/hyperlink" Target="https://www.google.com/search?q=International+Alert+-+Brussels+jobs+vacancies+careers" TargetMode="External"/><Relationship Id="rId443" Type="http://schemas.openxmlformats.org/officeDocument/2006/relationships/hyperlink" Target="https://nonviolentpeaceforce.org/careers/" TargetMode="External"/><Relationship Id="rId444" Type="http://schemas.openxmlformats.org/officeDocument/2006/relationships/hyperlink" Target="https://www.google.com/search?q=Nonviolent+Peaceforce+Brussels+%2F+Geneva+jobs+vacancies" TargetMode="External"/><Relationship Id="rId445" Type="http://schemas.openxmlformats.org/officeDocument/2006/relationships/hyperlink" Target="https://www.saferworld.org.uk/jobs" TargetMode="External"/><Relationship Id="rId446" Type="http://schemas.openxmlformats.org/officeDocument/2006/relationships/hyperlink" Target="https://www.google.com/search?q=Saferworld+Brussels+jobs+vacancies+careers" TargetMode="External"/><Relationship Id="rId447" Type="http://schemas.openxmlformats.org/officeDocument/2006/relationships/hyperlink" Target="https://blomeyer.eu/" TargetMode="External"/><Relationship Id="rId448" Type="http://schemas.openxmlformats.org/officeDocument/2006/relationships/hyperlink" Target="https://www.google.com/search?q=Blomeyer+%26+Sanz+Madrid+%2F+Brussels+jobs+vacancies" TargetMode="External"/><Relationship Id="rId449" Type="http://schemas.openxmlformats.org/officeDocument/2006/relationships/hyperlink" Target="https://www.ecorys.com/careers/" TargetMode="External"/><Relationship Id="rId450" Type="http://schemas.openxmlformats.org/officeDocument/2006/relationships/hyperlink" Target="https://www.google.com/search?q=Ecorys+%28Rue+Belliard%29+Brussels+jobs+vacancies" TargetMode="External"/><Relationship Id="rId451" Type="http://schemas.openxmlformats.org/officeDocument/2006/relationships/hyperlink" Target="https://www.icf.com/careers" TargetMode="External"/><Relationship Id="rId452" Type="http://schemas.openxmlformats.org/officeDocument/2006/relationships/hyperlink" Target="https://www.google.com/search?q=ICF+%28Avenue+Marnix%29+Brussels+jobs+vacancies" TargetMode="External"/><Relationship Id="rId453" Type="http://schemas.openxmlformats.org/officeDocument/2006/relationships/hyperlink" Target="https://www.ipsos.com/en-be/careers" TargetMode="External"/><Relationship Id="rId454" Type="http://schemas.openxmlformats.org/officeDocument/2006/relationships/hyperlink" Target="https://www.google.com/search?q=Ipsos+European+Public+Affairs+Brussels+jobs+vacancies" TargetMode="External"/><Relationship Id="rId455" Type="http://schemas.openxmlformats.org/officeDocument/2006/relationships/hyperlink" Target="https://www.technopolis-group.com/careers/" TargetMode="External"/><Relationship Id="rId456" Type="http://schemas.openxmlformats.org/officeDocument/2006/relationships/hyperlink" Target="https://www.google.com/search?q=Technopolis+Group+Belgium+Brussels+jobs+vacancies" TargetMode="External"/><Relationship Id="rId457" Type="http://schemas.openxmlformats.org/officeDocument/2006/relationships/hyperlink" Target="https://www.veriangroup.com/careers" TargetMode="External"/><Relationship Id="rId458" Type="http://schemas.openxmlformats.org/officeDocument/2006/relationships/hyperlink" Target="https://www.google.com/search?q=Verian+%28ex-Kantar+Public%29+Brussels+jobs+vacancies" TargetMode="External"/><Relationship Id="rId459" Type="http://schemas.openxmlformats.org/officeDocument/2006/relationships/hyperlink" Target="https://open-evidence.com/" TargetMode="External"/><Relationship Id="rId460" Type="http://schemas.openxmlformats.org/officeDocument/2006/relationships/hyperlink" Target="https://www.google.com/search?q=Open+Evidence+Barcelona+%2B+Brussels+jobs+vacancies" TargetMode="External"/><Relationship Id="rId461" Type="http://schemas.openxmlformats.org/officeDocument/2006/relationships/hyperlink" Target="https://ppmi.lt/careers" TargetMode="External"/><Relationship Id="rId462" Type="http://schemas.openxmlformats.org/officeDocument/2006/relationships/hyperlink" Target="https://www.google.com/search?q=PPMI+Vilnius+%2B+Brussels+jobs+vacancies" TargetMode="External"/><Relationship Id="rId463" Type="http://schemas.openxmlformats.org/officeDocument/2006/relationships/hyperlink" Target="https://www.particip.de/" TargetMode="External"/><Relationship Id="rId464" Type="http://schemas.openxmlformats.org/officeDocument/2006/relationships/hyperlink" Target="https://www.google.com/search?q=Particip+GmbH+Freiburg+%2B+Brussels+jobs+vacancies" TargetMode="External"/><Relationship Id="rId465" Type="http://schemas.openxmlformats.org/officeDocument/2006/relationships/hyperlink" Target="https://www.prospex-institute.org/" TargetMode="External"/><Relationship Id="rId466" Type="http://schemas.openxmlformats.org/officeDocument/2006/relationships/hyperlink" Target="https://www.google.com/search?q=Prospex+Institute+Brussels+jobs+vacancies" TargetMode="External"/><Relationship Id="rId467" Type="http://schemas.openxmlformats.org/officeDocument/2006/relationships/hyperlink" Target="https://www.ramboll.com/careers" TargetMode="External"/><Relationship Id="rId468" Type="http://schemas.openxmlformats.org/officeDocument/2006/relationships/hyperlink" Target="https://www.google.com/search?q=Ramboll+Management+Consulting+Brussels+jobs+vacancies" TargetMode="External"/><Relationship Id="rId469" Type="http://schemas.openxmlformats.org/officeDocument/2006/relationships/hyperlink" Target="https://www.tetratech.com/careers/" TargetMode="External"/><Relationship Id="rId470" Type="http://schemas.openxmlformats.org/officeDocument/2006/relationships/hyperlink" Target="https://www.google.com/search?q=Tetra+Tech+Brussels+jobs+vacancies" TargetMode="External"/><Relationship Id="rId471" Type="http://schemas.openxmlformats.org/officeDocument/2006/relationships/hyperlink" Target="https://www.vva.it/" TargetMode="External"/><Relationship Id="rId472" Type="http://schemas.openxmlformats.org/officeDocument/2006/relationships/hyperlink" Target="https://www.google.com/search?q=VVA+%28Valdani+Vicari+%26+Associati%29+Brussels+jobs+vacancies" TargetMode="External"/><Relationship Id="rId473" Type="http://schemas.openxmlformats.org/officeDocument/2006/relationships/hyperlink" Target="https://cses.co.uk/" TargetMode="External"/><Relationship Id="rId474" Type="http://schemas.openxmlformats.org/officeDocument/2006/relationships/hyperlink" Target="https://www.google.com/search?q=CSES+%28Centre+for+Strategy+%26+Evaluation+Services%29+UK+%2F+Brussels+jobs+vacancies" TargetMode="External"/><Relationship Id="rId475" Type="http://schemas.openxmlformats.org/officeDocument/2006/relationships/hyperlink" Target="https://www.deloitte.com/be/en/careers.html" TargetMode="External"/><Relationship Id="rId476" Type="http://schemas.openxmlformats.org/officeDocument/2006/relationships/hyperlink" Target="https://www.google.com/search?q=Deloitte+-+EU+Services+Brussels+jobs+vacancies" TargetMode="External"/><Relationship Id="rId477" Type="http://schemas.openxmlformats.org/officeDocument/2006/relationships/hyperlink" Target="https://www.ey.com/en_be/careers" TargetMode="External"/><Relationship Id="rId478" Type="http://schemas.openxmlformats.org/officeDocument/2006/relationships/hyperlink" Target="https://www.google.com/search?q=EY+-+EU+Institutions+practice+Brussels+jobs+vacancies" TargetMode="External"/><Relationship Id="rId479" Type="http://schemas.openxmlformats.org/officeDocument/2006/relationships/hyperlink" Target="https://www.empirica.com/" TargetMode="External"/><Relationship Id="rId480" Type="http://schemas.openxmlformats.org/officeDocument/2006/relationships/hyperlink" Target="https://www.google.com/search?q=Empirica+Bonn+jobs+vacancies" TargetMode="External"/><Relationship Id="rId481" Type="http://schemas.openxmlformats.org/officeDocument/2006/relationships/hyperlink" Target="https://www.fondazionebrodolini.it/" TargetMode="External"/><Relationship Id="rId482" Type="http://schemas.openxmlformats.org/officeDocument/2006/relationships/hyperlink" Target="https://www.google.com/search?q=Fondazione+Giacomo+Brodolini+Rome+%2F+Brussels+jobs+vacancies" TargetMode="External"/><Relationship Id="rId483" Type="http://schemas.openxmlformats.org/officeDocument/2006/relationships/hyperlink" Target="https://www.icon-institute.de/" TargetMode="External"/><Relationship Id="rId484" Type="http://schemas.openxmlformats.org/officeDocument/2006/relationships/hyperlink" Target="https://www.google.com/search?q=ICON-INSTITUT+Cologne+jobs+vacancies" TargetMode="External"/><Relationship Id="rId485" Type="http://schemas.openxmlformats.org/officeDocument/2006/relationships/hyperlink" Target="https://www.milieu.be/" TargetMode="External"/><Relationship Id="rId486" Type="http://schemas.openxmlformats.org/officeDocument/2006/relationships/hyperlink" Target="https://www.google.com/search?q=Milieu+Consulting+Brussels+jobs+vacancies" TargetMode="External"/><Relationship Id="rId487" Type="http://schemas.openxmlformats.org/officeDocument/2006/relationships/hyperlink" Target="https://trinomics.eu/vacancies/" TargetMode="External"/><Relationship Id="rId488" Type="http://schemas.openxmlformats.org/officeDocument/2006/relationships/hyperlink" Target="https://www.google.com/search?q=Trinomics+Rotterdam+%2B+Brussels+jobs+vacancies" TargetMode="External"/><Relationship Id="rId489" Type="http://schemas.openxmlformats.org/officeDocument/2006/relationships/hyperlink" Target="https://visionary.lt/" TargetMode="External"/><Relationship Id="rId490" Type="http://schemas.openxmlformats.org/officeDocument/2006/relationships/hyperlink" Target="https://www.google.com/search?q=Visionary+Analytics+Vilnius+%2B+Brussels+jobs+vacancies" TargetMode="External"/><Relationship Id="rId491" Type="http://schemas.openxmlformats.org/officeDocument/2006/relationships/hyperlink" Target="https://brussels.fes.de/" TargetMode="External"/><Relationship Id="rId492" Type="http://schemas.openxmlformats.org/officeDocument/2006/relationships/hyperlink" Target="https://www.google.com/search?q=Friedrich-Ebert-Stiftung+EU+Office+Brussels+jobs+vacancies" TargetMode="External"/><Relationship Id="rId493" Type="http://schemas.openxmlformats.org/officeDocument/2006/relationships/hyperlink" Target="https://eu.boell.org/" TargetMode="External"/><Relationship Id="rId494" Type="http://schemas.openxmlformats.org/officeDocument/2006/relationships/hyperlink" Target="https://www.google.com/search?q=Heinrich-Boll-Stiftung+EU+Brussels+jobs+vacancies" TargetMode="External"/><Relationship Id="rId495" Type="http://schemas.openxmlformats.org/officeDocument/2006/relationships/hyperlink" Target="https://www.centreavec.be/" TargetMode="External"/><Relationship Id="rId496" Type="http://schemas.openxmlformats.org/officeDocument/2006/relationships/hyperlink" Target="https://www.google.com/search?q=Centre+Avec+Brussels+jobs+vacancies" TargetMode="External"/><Relationship Id="rId497" Type="http://schemas.openxmlformats.org/officeDocument/2006/relationships/hyperlink" Target="https://www.egmontinstitute.be/" TargetMode="External"/><Relationship Id="rId498" Type="http://schemas.openxmlformats.org/officeDocument/2006/relationships/hyperlink" Target="https://www.google.com/search?q=Egmont+Institute+Brussels+jobs+vacancies" TargetMode="External"/><Relationship Id="rId499" Type="http://schemas.openxmlformats.org/officeDocument/2006/relationships/hyperlink" Target="https://feps-europe.eu/vacancies/" TargetMode="External"/><Relationship Id="rId500" Type="http://schemas.openxmlformats.org/officeDocument/2006/relationships/hyperlink" Target="https://www.google.com/search?q=FEPS+%28Foundation+for+European+Progressive+Studies%29+Brussels+jobs+vacancies" TargetMode="External"/><Relationship Id="rId501" Type="http://schemas.openxmlformats.org/officeDocument/2006/relationships/hyperlink" Target="https://www.friendsofeurope.org/" TargetMode="External"/><Relationship Id="rId502" Type="http://schemas.openxmlformats.org/officeDocument/2006/relationships/hyperlink" Target="https://www.google.com/search?q=Friends+of+Europe+Brussels+jobs+vacancies" TargetMode="External"/><Relationship Id="rId503" Type="http://schemas.openxmlformats.org/officeDocument/2006/relationships/hyperlink" Target="https://www.kas.de/en/web/bruessel-eu" TargetMode="External"/><Relationship Id="rId504" Type="http://schemas.openxmlformats.org/officeDocument/2006/relationships/hyperlink" Target="https://www.google.com/search?q=Konrad-Adenauer-Stiftung+European+Office+Brussels+jobs+vacancies" TargetMode="External"/><Relationship Id="rId505" Type="http://schemas.openxmlformats.org/officeDocument/2006/relationships/hyperlink" Target="https://www.rosalux.eu/" TargetMode="External"/><Relationship Id="rId506" Type="http://schemas.openxmlformats.org/officeDocument/2006/relationships/hyperlink" Target="https://www.google.com/search?q=Rosa-Luxemburg-Stiftung+Brussels+jobs+vacancies+careers" TargetMode="External"/><Relationship Id="rId507" Type="http://schemas.openxmlformats.org/officeDocument/2006/relationships/hyperlink" Target="https://www.bruegel.org/vacancies" TargetMode="External"/><Relationship Id="rId508" Type="http://schemas.openxmlformats.org/officeDocument/2006/relationships/hyperlink" Target="https://www.google.com/search?q=Bruegel+Brussels+jobs+vacancies" TargetMode="External"/><Relationship Id="rId509" Type="http://schemas.openxmlformats.org/officeDocument/2006/relationships/hyperlink" Target="https://www.ceps.eu/about-ceps/jobs/" TargetMode="External"/><Relationship Id="rId510" Type="http://schemas.openxmlformats.org/officeDocument/2006/relationships/hyperlink" Target="https://www.google.com/search?q=CEPS+Brussels+jobs+vacancies" TargetMode="External"/><Relationship Id="rId511" Type="http://schemas.openxmlformats.org/officeDocument/2006/relationships/hyperlink" Target="https://carnegieendowment.org/about/employment" TargetMode="External"/><Relationship Id="rId512" Type="http://schemas.openxmlformats.org/officeDocument/2006/relationships/hyperlink" Target="https://www.google.com/search?q=Carnegie+Europe+Brussels+jobs+vacancies" TargetMode="External"/><Relationship Id="rId513" Type="http://schemas.openxmlformats.org/officeDocument/2006/relationships/hyperlink" Target="https://ecfr.eu/jobs/" TargetMode="External"/><Relationship Id="rId514" Type="http://schemas.openxmlformats.org/officeDocument/2006/relationships/hyperlink" Target="https://www.google.com/search?q=ECFR+Brussels+jobs+vacancies+careers" TargetMode="External"/><Relationship Id="rId515" Type="http://schemas.openxmlformats.org/officeDocument/2006/relationships/hyperlink" Target="https://etopia.be/" TargetMode="External"/><Relationship Id="rId516" Type="http://schemas.openxmlformats.org/officeDocument/2006/relationships/hyperlink" Target="https://www.google.com/search?q=Etopia+%28Ecolo%29+Namur+%2F+Brussels+jobs+vacancies" TargetMode="External"/><Relationship Id="rId517" Type="http://schemas.openxmlformats.org/officeDocument/2006/relationships/hyperlink" Target="https://www.epc.eu/" TargetMode="External"/><Relationship Id="rId518" Type="http://schemas.openxmlformats.org/officeDocument/2006/relationships/hyperlink" Target="https://www.google.com/search?q=European+Policy+Centre+%28EPC%29+Brussels+jobs+vacancies" TargetMode="External"/><Relationship Id="rId519" Type="http://schemas.openxmlformats.org/officeDocument/2006/relationships/hyperlink" Target="https://europe.fnst.org/" TargetMode="External"/><Relationship Id="rId520" Type="http://schemas.openxmlformats.org/officeDocument/2006/relationships/hyperlink" Target="https://www.google.com/search?q=Friedrich-Naumann-Stiftung+Brussels+jobs+vacancies" TargetMode="External"/><Relationship Id="rId521" Type="http://schemas.openxmlformats.org/officeDocument/2006/relationships/hyperlink" Target="https://www.gmfus.org/careers" TargetMode="External"/><Relationship Id="rId522" Type="http://schemas.openxmlformats.org/officeDocument/2006/relationships/hyperlink" Target="https://www.google.com/search?q=German+Marshall+Fund+Brussels+jobs+vacancies+careers" TargetMode="External"/><Relationship Id="rId523" Type="http://schemas.openxmlformats.org/officeDocument/2006/relationships/hyperlink" Target="https://gef.eu/" TargetMode="External"/><Relationship Id="rId524" Type="http://schemas.openxmlformats.org/officeDocument/2006/relationships/hyperlink" Target="https://www.google.com/search?q=Green+European+Foundation+Brussels+%2F+Luxembourg+jobs+vacancies" TargetMode="External"/><Relationship Id="rId525" Type="http://schemas.openxmlformats.org/officeDocument/2006/relationships/hyperlink" Target="https://www.iev.be/" TargetMode="External"/><Relationship Id="rId526" Type="http://schemas.openxmlformats.org/officeDocument/2006/relationships/hyperlink" Target="https://www.google.com/search?q=Institut+Emile+Vandervelde+%28PS%29+Brussels+jobs+vacancies" TargetMode="External"/><Relationship Id="rId527" Type="http://schemas.openxmlformats.org/officeDocument/2006/relationships/hyperlink" Target="https://institutdelors.eu/" TargetMode="External"/><Relationship Id="rId528" Type="http://schemas.openxmlformats.org/officeDocument/2006/relationships/hyperlink" Target="https://www.google.com/search?q=Institut+Jacques+Delors+Paris+%2F+Brussels+jobs+vacancies" TargetMode="External"/><Relationship Id="rId529" Type="http://schemas.openxmlformats.org/officeDocument/2006/relationships/hyperlink" Target="https://www.transform-network.net/" TargetMode="External"/><Relationship Id="rId530" Type="http://schemas.openxmlformats.org/officeDocument/2006/relationships/hyperlink" Target="https://www.google.com/search?q=Transform%21+Europe+Brussels+%2F+Vienna+jobs+vacancies" TargetMode="External"/><Relationship Id="rId531" Type="http://schemas.openxmlformats.org/officeDocument/2006/relationships/hyperlink" Target="https://www.martenscentre.eu/" TargetMode="External"/><Relationship Id="rId532" Type="http://schemas.openxmlformats.org/officeDocument/2006/relationships/hyperlink" Target="https://www.google.com/search?q=Wilfried+Martens+Centre+Brussels+jobs+vacancies" TargetMode="External"/><Relationship Id="rId533" Type="http://schemas.openxmlformats.org/officeDocument/2006/relationships/hyperlink" Target="https://cordis.europa.eu/projects" TargetMode="External"/><Relationship Id="rId534" Type="http://schemas.openxmlformats.org/officeDocument/2006/relationships/hyperlink" Target="https://www.google.com/search?q=Horizon+Europe+consortia+-+via+CORDIS+jobs+vacancies+careers" TargetMode="External"/><Relationship Id="rId535" Type="http://schemas.openxmlformats.org/officeDocument/2006/relationships/hyperlink" Target="https://euraxess.ec.europa.eu/jobs/search" TargetMode="External"/><Relationship Id="rId536" Type="http://schemas.openxmlformats.org/officeDocument/2006/relationships/hyperlink" Target="https://www.google.com/search?q=Horizon+Europe+consortia+-+via+Euraxess+jobs+vacancies+careers" TargetMode="External"/><Relationship Id="rId537" Type="http://schemas.openxmlformats.org/officeDocument/2006/relationships/hyperlink" Target="https://www.kuleuven.be/personeel/jobsite/" TargetMode="External"/><Relationship Id="rId538" Type="http://schemas.openxmlformats.org/officeDocument/2006/relationships/hyperlink" Target="https://www.google.com/search?q=KU+Leuven+-+Faculty+of+Social+Sciences+Leuven+%2F+Brussels+jobs+vacancies" TargetMode="External"/><Relationship Id="rId539" Type="http://schemas.openxmlformats.org/officeDocument/2006/relationships/hyperlink" Target="https://www.migratiemuseummigration.be/" TargetMode="External"/><Relationship Id="rId540" Type="http://schemas.openxmlformats.org/officeDocument/2006/relationships/hyperlink" Target="https://www.google.com/search?q=MigratieMuseum+Migration+Brussels+%28Molenbeek%29+jobs+vacancies" TargetMode="External"/><Relationship Id="rId541" Type="http://schemas.openxmlformats.org/officeDocument/2006/relationships/hyperlink" Target="https://www.ulb.be/en/jobs" TargetMode="External"/><Relationship Id="rId542" Type="http://schemas.openxmlformats.org/officeDocument/2006/relationships/hyperlink" Target="https://www.google.com/search?q=ULB+-+LAMC+%28Laboratoire+d%27anthropologie+des+mondes+contemporains%29+Brussels+jobs+vacancies" TargetMode="External"/><Relationship Id="rId543" Type="http://schemas.openxmlformats.org/officeDocument/2006/relationships/hyperlink" Target="https://www.uantwerpen.be/en/jobs/" TargetMode="External"/><Relationship Id="rId544" Type="http://schemas.openxmlformats.org/officeDocument/2006/relationships/hyperlink" Target="https://www.google.com/search?q=University+of+Antwerp+-+CeMIS+%28Centre+for+Migration+and+Intercultural+Studies%29+Antwerp+jobs+vacancies" TargetMode="External"/><Relationship Id="rId545" Type="http://schemas.openxmlformats.org/officeDocument/2006/relationships/hyperlink" Target="https://www.vub.be/en/jobs" TargetMode="External"/><Relationship Id="rId546" Type="http://schemas.openxmlformats.org/officeDocument/2006/relationships/hyperlink" Target="https://www.google.com/search?q=VUB+-+Brussels+School+of+Governance+%2F+IES+jobs+vacancies+careers" TargetMode="External"/><Relationship Id="rId547" Type="http://schemas.openxmlformats.org/officeDocument/2006/relationships/hyperlink" Target="https://www.africamuseum.be/en/about_us/jobs" TargetMode="External"/><Relationship Id="rId548" Type="http://schemas.openxmlformats.org/officeDocument/2006/relationships/hyperlink" Target="https://www.google.com/search?q=AfricaMuseum+%28Royal+Museum+for+Central+Africa%29+Tervuren+jobs+vacancies" TargetMode="External"/><Relationship Id="rId549" Type="http://schemas.openxmlformats.org/officeDocument/2006/relationships/hyperlink" Target="https://www.coleurope.eu/careers" TargetMode="External"/><Relationship Id="rId550" Type="http://schemas.openxmlformats.org/officeDocument/2006/relationships/hyperlink" Target="https://www.google.com/search?q=College+of+Europe+Bruges+%2F+Natolin+jobs+vacancies" TargetMode="External"/><Relationship Id="rId551" Type="http://schemas.openxmlformats.org/officeDocument/2006/relationships/hyperlink" Target="https://www.ugent.be/en/work" TargetMode="External"/><Relationship Id="rId552" Type="http://schemas.openxmlformats.org/officeDocument/2006/relationships/hyperlink" Target="https://www.google.com/search?q=Ghent+University+-+CESSMIR+Ghent+jobs+vacancies" TargetMode="External"/><Relationship Id="rId553" Type="http://schemas.openxmlformats.org/officeDocument/2006/relationships/hyperlink" Target="https://uclouvain.be/en/jobs" TargetMode="External"/><Relationship Id="rId554" Type="http://schemas.openxmlformats.org/officeDocument/2006/relationships/hyperlink" Target="https://www.google.com/search?q=UCLouvain+-+LAAP+%28Laboratoire+d%27anthropologie+prospective%29+Louvain-la-Neuve+jobs+vacancies" TargetMode="External"/><Relationship Id="rId555" Type="http://schemas.openxmlformats.org/officeDocument/2006/relationships/hyperlink" Target="https://www.bozar.be/en/jobs" TargetMode="External"/><Relationship Id="rId556" Type="http://schemas.openxmlformats.org/officeDocument/2006/relationships/hyperlink" Target="https://www.google.com/search?q=Bozar+%28Centre+for+Fine+Arts%29+Brussels+jobs+vacancies" TargetMode="External"/><Relationship Id="rId557" Type="http://schemas.openxmlformats.org/officeDocument/2006/relationships/hyperlink" Target="https://www.ihecs.be/" TargetMode="External"/><Relationship Id="rId558" Type="http://schemas.openxmlformats.org/officeDocument/2006/relationships/hyperlink" Target="https://www.google.com/search?q=IHECS+Brussels+jobs+vacancies" TargetMode="External"/><Relationship Id="rId559" Type="http://schemas.openxmlformats.org/officeDocument/2006/relationships/hyperlink" Target="https://kanal.brussels/" TargetMode="External"/><Relationship Id="rId560" Type="http://schemas.openxmlformats.org/officeDocument/2006/relationships/hyperlink" Target="https://www.google.com/search?q=KANAL+Centre+Pompidou+Brussels+%28Molenbeek%29+jobs+vacancies" TargetMode="External"/><Relationship Id="rId561" Type="http://schemas.openxmlformats.org/officeDocument/2006/relationships/hyperlink" Target="https://www.redstarline.be/" TargetMode="External"/><Relationship Id="rId562" Type="http://schemas.openxmlformats.org/officeDocument/2006/relationships/hyperlink" Target="https://www.google.com/search?q=Red+Star+Line+Museum+Antwerp+jobs+vacancies" TargetMode="External"/><Relationship Id="rId563" Type="http://schemas.openxmlformats.org/officeDocument/2006/relationships/hyperlink" Target="https://uclouvain.be/en/jobs" TargetMode="External"/><Relationship Id="rId564" Type="http://schemas.openxmlformats.org/officeDocument/2006/relationships/hyperlink" Target="https://www.google.com/search?q=Universite+Saint-Louis+Bruxelles+%28UCLouvain+Saint-Louis%29+Brussels+jobs+vacancies" TargetMode="External"/><Relationship Id="rId56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u-careers.europa.eu/" TargetMode="External"/><Relationship Id="rId2" Type="http://schemas.openxmlformats.org/officeDocument/2006/relationships/hyperlink" Target="https://www.linkedin.com/" TargetMode="External"/><Relationship Id="rId3" Type="http://schemas.openxmlformats.org/officeDocument/2006/relationships/hyperlink" Target="https://traineeships.ec.europa.eu/" TargetMode="External"/><Relationship Id="rId4" Type="http://schemas.openxmlformats.org/officeDocument/2006/relationships/hyperlink" Target="https://traineeships.ec.europa.eu/" TargetMode="External"/><Relationship Id="rId5" Type="http://schemas.openxmlformats.org/officeDocument/2006/relationships/hyperlink" Target="https://traineeships.ec.europa.eu/" TargetMode="External"/><Relationship Id="rId6" Type="http://schemas.openxmlformats.org/officeDocument/2006/relationships/hyperlink" Target="https://www.werkenvoor.be/" TargetMode="External"/><Relationship Id="rId7" Type="http://schemas.openxmlformats.org/officeDocument/2006/relationships/hyperlink" Target="https://www.eeas.europa.eu/" TargetMode="External"/><Relationship Id="rId8" Type="http://schemas.openxmlformats.org/officeDocument/2006/relationships/hyperlink" Target="https://eu-careers.europa.eu/" TargetMode="External"/><Relationship Id="rId9" Type="http://schemas.openxmlformats.org/officeDocument/2006/relationships/hyperlink" Target="https://eu-careers.europa.eu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eurobrussels.com/" TargetMode="External"/><Relationship Id="rId2" Type="http://schemas.openxmlformats.org/officeDocument/2006/relationships/hyperlink" Target="https://jobs.euractiv.com/" TargetMode="External"/><Relationship Id="rId3" Type="http://schemas.openxmlformats.org/officeDocument/2006/relationships/hyperlink" Target="https://jobsin.brussels/" TargetMode="External"/><Relationship Id="rId4" Type="http://schemas.openxmlformats.org/officeDocument/2006/relationships/hyperlink" Target="https://jobs.humanrightscareers.com/" TargetMode="External"/><Relationship Id="rId5" Type="http://schemas.openxmlformats.org/officeDocument/2006/relationships/hyperlink" Target="https://eu-careers.europa.eu/" TargetMode="External"/><Relationship Id="rId6" Type="http://schemas.openxmlformats.org/officeDocument/2006/relationships/hyperlink" Target="https://traineeships.ec.europa.eu/" TargetMode="External"/><Relationship Id="rId7" Type="http://schemas.openxmlformats.org/officeDocument/2006/relationships/hyperlink" Target="https://www.eujobs.co/" TargetMode="External"/><Relationship Id="rId8" Type="http://schemas.openxmlformats.org/officeDocument/2006/relationships/hyperlink" Target="https://www.devex.com/" TargetMode="External"/><Relationship Id="rId9" Type="http://schemas.openxmlformats.org/officeDocument/2006/relationships/hyperlink" Target="https://www.impactpool.org/" TargetMode="External"/><Relationship Id="rId10" Type="http://schemas.openxmlformats.org/officeDocument/2006/relationships/hyperlink" Target="https://www.linkedin.com/jobs" TargetMode="External"/><Relationship Id="rId11" Type="http://schemas.openxmlformats.org/officeDocument/2006/relationships/hyperlink" Target="https://untalent.org/" TargetMode="External"/><Relationship Id="rId12" Type="http://schemas.openxmlformats.org/officeDocument/2006/relationships/hyperlink" Target="https://trustedjobs.eu/" TargetMode="External"/><Relationship Id="rId13" Type="http://schemas.openxmlformats.org/officeDocument/2006/relationships/hyperlink" Target="https://eujobsalert.com/" TargetMode="External"/><Relationship Id="rId14" Type="http://schemas.openxmlformats.org/officeDocument/2006/relationships/hyperlink" Target="https://www.brusselsjobs.com/" TargetMode="External"/><Relationship Id="rId15" Type="http://schemas.openxmlformats.org/officeDocument/2006/relationships/hyperlink" Target="https://euraxess.ec.europa.eu/jobs/search" TargetMode="External"/><Relationship Id="rId16" Type="http://schemas.openxmlformats.org/officeDocument/2006/relationships/hyperlink" Target="https://cordis.europa.eu/projects" TargetMode="External"/><Relationship Id="rId17" Type="http://schemas.openxmlformats.org/officeDocument/2006/relationships/hyperlink" Target="https://www.guidesocial.be/" TargetMode="External"/><Relationship Id="rId18" Type="http://schemas.openxmlformats.org/officeDocument/2006/relationships/hyperlink" Target="https://www.jobat.be/" TargetMode="External"/><Relationship Id="rId19" Type="http://schemas.openxmlformats.org/officeDocument/2006/relationships/hyperlink" Target="https://references.lesoir.be/" TargetMode="External"/><Relationship Id="rId20" Type="http://schemas.openxmlformats.org/officeDocument/2006/relationships/hyperlink" Target="https://www.werkenvoor.be/" TargetMode="External"/><Relationship Id="rId21" Type="http://schemas.openxmlformats.org/officeDocument/2006/relationships/hyperlink" Target="https://talent.brussels/" TargetMode="External"/><Relationship Id="rId22" Type="http://schemas.openxmlformats.org/officeDocument/2006/relationships/hyperlink" Target="https://www.actiris.brussels/" TargetMode="External"/><Relationship Id="rId23" Type="http://schemas.openxmlformats.org/officeDocument/2006/relationships/hyperlink" Target="https://www.nato.int/cps/en/natohq/recruitment.htm" TargetMode="External"/><Relationship Id="rId24" Type="http://schemas.openxmlformats.org/officeDocument/2006/relationships/hyperlink" Target="https://www.europarl.europa.eu/" TargetMode="External"/><Relationship Id="rId25" Type="http://schemas.openxmlformats.org/officeDocument/2006/relationships/hyperlink" Target="https://reliefweb.int/jobs" TargetMode="External"/><Relationship Id="rId26" Type="http://schemas.openxmlformats.org/officeDocument/2006/relationships/hyperlink" Target="https://www.idealist.org/" TargetMode="External"/><Relationship Id="rId27" Type="http://schemas.openxmlformats.org/officeDocument/2006/relationships/hyperlink" Target="https://thebeubble.substack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8" min="4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B4" s="2"/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</row>
    <row r="7" customFormat="false" ht="30" hidden="false" customHeight="true" outlineLevel="0" collapsed="false">
      <c r="B7" s="4" t="s">
        <v>3</v>
      </c>
      <c r="C7" s="5" t="s">
        <v>4</v>
      </c>
      <c r="D7" s="5"/>
      <c r="E7" s="5"/>
      <c r="F7" s="5"/>
      <c r="G7" s="5"/>
      <c r="H7" s="5"/>
    </row>
    <row r="8" customFormat="false" ht="30" hidden="false" customHeight="true" outlineLevel="0" collapsed="false">
      <c r="B8" s="4" t="s">
        <v>5</v>
      </c>
      <c r="C8" s="5" t="s">
        <v>6</v>
      </c>
      <c r="D8" s="5"/>
      <c r="E8" s="5"/>
      <c r="F8" s="5"/>
      <c r="G8" s="5"/>
      <c r="H8" s="5"/>
    </row>
    <row r="9" customFormat="false" ht="30" hidden="false" customHeight="true" outlineLevel="0" collapsed="false">
      <c r="B9" s="4" t="s">
        <v>7</v>
      </c>
      <c r="C9" s="5" t="s">
        <v>8</v>
      </c>
      <c r="D9" s="5"/>
      <c r="E9" s="5"/>
      <c r="F9" s="5"/>
      <c r="G9" s="5"/>
      <c r="H9" s="5"/>
    </row>
    <row r="10" customFormat="false" ht="30" hidden="false" customHeight="true" outlineLevel="0" collapsed="false">
      <c r="B10" s="4" t="s">
        <v>9</v>
      </c>
      <c r="C10" s="5" t="s">
        <v>10</v>
      </c>
      <c r="D10" s="5"/>
      <c r="E10" s="5"/>
      <c r="F10" s="5"/>
      <c r="G10" s="5"/>
      <c r="H10" s="5"/>
    </row>
    <row r="12" customFormat="false" ht="15" hidden="false" customHeight="false" outlineLevel="0" collapsed="false">
      <c r="B12" s="6" t="s">
        <v>11</v>
      </c>
    </row>
    <row r="13" customFormat="false" ht="25.5" hidden="false" customHeight="true" outlineLevel="0" collapsed="false">
      <c r="B13" s="4" t="s">
        <v>12</v>
      </c>
      <c r="C13" s="5" t="s">
        <v>13</v>
      </c>
      <c r="D13" s="5"/>
      <c r="E13" s="5"/>
      <c r="F13" s="5"/>
      <c r="G13" s="5"/>
      <c r="H13" s="5"/>
    </row>
    <row r="14" customFormat="false" ht="25.5" hidden="false" customHeight="true" outlineLevel="0" collapsed="false">
      <c r="B14" s="4" t="s">
        <v>14</v>
      </c>
      <c r="C14" s="5" t="s">
        <v>15</v>
      </c>
      <c r="D14" s="5"/>
      <c r="E14" s="5"/>
      <c r="F14" s="5"/>
      <c r="G14" s="5"/>
      <c r="H14" s="5"/>
    </row>
    <row r="15" customFormat="false" ht="25.5" hidden="false" customHeight="true" outlineLevel="0" collapsed="false">
      <c r="B15" s="4" t="s">
        <v>16</v>
      </c>
      <c r="C15" s="5" t="s">
        <v>17</v>
      </c>
      <c r="D15" s="5"/>
      <c r="E15" s="5"/>
      <c r="F15" s="5"/>
      <c r="G15" s="5"/>
      <c r="H15" s="5"/>
    </row>
    <row r="16" customFormat="false" ht="25.5" hidden="false" customHeight="true" outlineLevel="0" collapsed="false">
      <c r="B16" s="4" t="s">
        <v>18</v>
      </c>
      <c r="C16" s="5" t="s">
        <v>19</v>
      </c>
      <c r="D16" s="5"/>
      <c r="E16" s="5"/>
      <c r="F16" s="5"/>
      <c r="G16" s="5"/>
      <c r="H16" s="5"/>
    </row>
    <row r="17" customFormat="false" ht="25.5" hidden="false" customHeight="true" outlineLevel="0" collapsed="false">
      <c r="B17" s="4" t="s">
        <v>20</v>
      </c>
      <c r="C17" s="5" t="s">
        <v>21</v>
      </c>
      <c r="D17" s="5"/>
      <c r="E17" s="5"/>
      <c r="F17" s="5"/>
      <c r="G17" s="5"/>
      <c r="H17" s="5"/>
    </row>
    <row r="19" customFormat="false" ht="15" hidden="false" customHeight="false" outlineLevel="0" collapsed="false">
      <c r="B19" s="6" t="s">
        <v>22</v>
      </c>
    </row>
    <row r="20" customFormat="false" ht="15" hidden="false" customHeight="false" outlineLevel="0" collapsed="false">
      <c r="B20" s="7" t="s">
        <v>23</v>
      </c>
      <c r="D20" s="8" t="n">
        <f aca="false">COUNTA('Target List'!B2:B283)</f>
        <v>282</v>
      </c>
    </row>
    <row r="21" customFormat="false" ht="15" hidden="false" customHeight="false" outlineLevel="0" collapsed="false">
      <c r="B21" s="7" t="s">
        <v>24</v>
      </c>
      <c r="D21" s="8" t="n">
        <f aca="false">COUNTIF('Target List'!K2:K283,"Yes")</f>
        <v>156</v>
      </c>
    </row>
    <row r="22" customFormat="false" ht="15" hidden="false" customHeight="false" outlineLevel="0" collapsed="false">
      <c r="B22" s="7" t="s">
        <v>25</v>
      </c>
      <c r="D22" s="8" t="n">
        <f aca="false">COUNTIF('Target List'!K2:K283,"No")</f>
        <v>126</v>
      </c>
    </row>
    <row r="23" customFormat="false" ht="15" hidden="false" customHeight="false" outlineLevel="0" collapsed="false">
      <c r="B23" s="7" t="s">
        <v>26</v>
      </c>
      <c r="D23" s="8" t="n">
        <f aca="false">COUNTIF('Target List'!J2:J283,1)</f>
        <v>64</v>
      </c>
    </row>
    <row r="24" customFormat="false" ht="15" hidden="false" customHeight="false" outlineLevel="0" collapsed="false">
      <c r="B24" s="7" t="s">
        <v>27</v>
      </c>
      <c r="D24" s="8" t="n">
        <f aca="false">COUNTIF('Target List'!J2:J283,2)</f>
        <v>89</v>
      </c>
    </row>
    <row r="25" customFormat="false" ht="15" hidden="false" customHeight="false" outlineLevel="0" collapsed="false">
      <c r="B25" s="7" t="s">
        <v>28</v>
      </c>
      <c r="D25" s="8" t="n">
        <f aca="false">COUNTIF('Target List'!J2:J283,3)</f>
        <v>129</v>
      </c>
    </row>
    <row r="26" customFormat="false" ht="15" hidden="false" customHeight="false" outlineLevel="0" collapsed="false">
      <c r="B26" s="7" t="s">
        <v>29</v>
      </c>
      <c r="D26" s="8" t="n">
        <f aca="false">COUNTIF('Target List'!Q2:Q283,"High")</f>
        <v>133</v>
      </c>
    </row>
    <row r="27" customFormat="false" ht="15" hidden="false" customHeight="false" outlineLevel="0" collapsed="false">
      <c r="B27" s="7" t="s">
        <v>30</v>
      </c>
      <c r="D27" s="8" t="n">
        <f aca="false">COUNTIF('Target List'!Q2:Q283,"Check")</f>
        <v>148</v>
      </c>
    </row>
    <row r="28" customFormat="false" ht="15" hidden="false" customHeight="false" outlineLevel="0" collapsed="false">
      <c r="B28" s="7" t="s">
        <v>31</v>
      </c>
      <c r="D28" s="8" t="n">
        <f aca="false">COUNTIF('Target List'!L2:L283,"Not started")</f>
        <v>282</v>
      </c>
    </row>
    <row r="29" customFormat="false" ht="15" hidden="false" customHeight="false" outlineLevel="0" collapsed="false">
      <c r="B29" s="7" t="s">
        <v>32</v>
      </c>
      <c r="D29" s="8" t="n">
        <f aca="false">COUNTIF('Target List'!L2:L283,"Applied")</f>
        <v>0</v>
      </c>
    </row>
    <row r="31" customFormat="false" ht="15" hidden="false" customHeight="false" outlineLevel="0" collapsed="false">
      <c r="B31" s="3" t="s">
        <v>33</v>
      </c>
    </row>
    <row r="32" customFormat="false" ht="30" hidden="false" customHeight="true" outlineLevel="0" collapsed="false">
      <c r="B32" s="5" t="s">
        <v>34</v>
      </c>
      <c r="C32" s="5"/>
      <c r="D32" s="5"/>
      <c r="E32" s="5"/>
      <c r="F32" s="5"/>
      <c r="G32" s="5"/>
      <c r="H32" s="5"/>
    </row>
    <row r="33" customFormat="false" ht="30" hidden="false" customHeight="true" outlineLevel="0" collapsed="false">
      <c r="B33" s="5" t="s">
        <v>35</v>
      </c>
      <c r="C33" s="5"/>
      <c r="D33" s="5"/>
      <c r="E33" s="5"/>
      <c r="F33" s="5"/>
      <c r="G33" s="5"/>
      <c r="H33" s="5"/>
    </row>
    <row r="34" customFormat="false" ht="30" hidden="false" customHeight="true" outlineLevel="0" collapsed="false">
      <c r="B34" s="5" t="s">
        <v>36</v>
      </c>
      <c r="C34" s="5"/>
      <c r="D34" s="5"/>
      <c r="E34" s="5"/>
      <c r="F34" s="5"/>
      <c r="G34" s="5"/>
      <c r="H34" s="5"/>
    </row>
  </sheetData>
  <mergeCells count="13">
    <mergeCell ref="B3:H4"/>
    <mergeCell ref="C7:H7"/>
    <mergeCell ref="C8:H8"/>
    <mergeCell ref="C9:H9"/>
    <mergeCell ref="C10:H10"/>
    <mergeCell ref="C13:H13"/>
    <mergeCell ref="C14:H14"/>
    <mergeCell ref="C15:H15"/>
    <mergeCell ref="C16:H16"/>
    <mergeCell ref="C17:H17"/>
    <mergeCell ref="B32:H32"/>
    <mergeCell ref="B33:H33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28"/>
    <col collapsed="false" customWidth="true" hidden="false" outlineLevel="0" max="7" min="7" style="0" width="5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42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31.5" hidden="false" customHeight="true" outlineLevel="0" collapsed="false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20</v>
      </c>
      <c r="I1" s="9" t="s">
        <v>18</v>
      </c>
      <c r="J1" s="9" t="s">
        <v>16</v>
      </c>
      <c r="K1" s="9" t="s">
        <v>14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5</v>
      </c>
      <c r="R1" s="9" t="s">
        <v>49</v>
      </c>
    </row>
    <row r="2" customFormat="false" ht="42" hidden="false" customHeight="true" outlineLevel="0" collapsed="false">
      <c r="A2" s="10" t="n">
        <v>1</v>
      </c>
      <c r="B2" s="11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0" t="s">
        <v>55</v>
      </c>
      <c r="H2" s="10" t="s">
        <v>56</v>
      </c>
      <c r="I2" s="10" t="s">
        <v>57</v>
      </c>
      <c r="J2" s="12" t="n">
        <v>1</v>
      </c>
      <c r="K2" s="13" t="s">
        <v>58</v>
      </c>
      <c r="L2" s="13" t="s">
        <v>31</v>
      </c>
      <c r="M2" s="13"/>
      <c r="N2" s="13"/>
      <c r="O2" s="13"/>
      <c r="P2" s="14" t="s">
        <v>59</v>
      </c>
      <c r="Q2" s="15" t="s">
        <v>60</v>
      </c>
      <c r="R2" s="14" t="s">
        <v>61</v>
      </c>
    </row>
    <row r="3" customFormat="false" ht="42" hidden="false" customHeight="true" outlineLevel="0" collapsed="false">
      <c r="A3" s="16" t="n">
        <v>2</v>
      </c>
      <c r="B3" s="16" t="s">
        <v>62</v>
      </c>
      <c r="C3" s="16" t="s">
        <v>51</v>
      </c>
      <c r="D3" s="16" t="s">
        <v>63</v>
      </c>
      <c r="E3" s="16" t="s">
        <v>53</v>
      </c>
      <c r="F3" s="16" t="s">
        <v>64</v>
      </c>
      <c r="G3" s="16" t="s">
        <v>65</v>
      </c>
      <c r="H3" s="16" t="s">
        <v>66</v>
      </c>
      <c r="I3" s="16" t="s">
        <v>67</v>
      </c>
      <c r="J3" s="16" t="n">
        <v>2</v>
      </c>
      <c r="K3" s="17" t="s">
        <v>68</v>
      </c>
      <c r="L3" s="17" t="s">
        <v>31</v>
      </c>
      <c r="M3" s="17"/>
      <c r="N3" s="17"/>
      <c r="O3" s="17"/>
      <c r="P3" s="18" t="s">
        <v>69</v>
      </c>
      <c r="Q3" s="15" t="s">
        <v>60</v>
      </c>
      <c r="R3" s="18" t="s">
        <v>61</v>
      </c>
    </row>
    <row r="4" customFormat="false" ht="42" hidden="false" customHeight="true" outlineLevel="0" collapsed="false">
      <c r="A4" s="10" t="n">
        <v>3</v>
      </c>
      <c r="B4" s="10" t="s">
        <v>70</v>
      </c>
      <c r="C4" s="10" t="s">
        <v>51</v>
      </c>
      <c r="D4" s="10" t="s">
        <v>71</v>
      </c>
      <c r="E4" s="10" t="s">
        <v>53</v>
      </c>
      <c r="F4" s="10" t="s">
        <v>72</v>
      </c>
      <c r="G4" s="10" t="s">
        <v>73</v>
      </c>
      <c r="H4" s="10" t="s">
        <v>66</v>
      </c>
      <c r="I4" s="10" t="s">
        <v>74</v>
      </c>
      <c r="J4" s="10" t="n">
        <v>2</v>
      </c>
      <c r="K4" s="13" t="s">
        <v>68</v>
      </c>
      <c r="L4" s="13" t="s">
        <v>31</v>
      </c>
      <c r="M4" s="13"/>
      <c r="N4" s="13"/>
      <c r="O4" s="13"/>
      <c r="P4" s="14" t="s">
        <v>75</v>
      </c>
      <c r="Q4" s="10" t="s">
        <v>76</v>
      </c>
      <c r="R4" s="14" t="s">
        <v>61</v>
      </c>
    </row>
    <row r="5" customFormat="false" ht="42" hidden="false" customHeight="true" outlineLevel="0" collapsed="false">
      <c r="A5" s="16" t="n">
        <v>4</v>
      </c>
      <c r="B5" s="16" t="s">
        <v>77</v>
      </c>
      <c r="C5" s="16" t="s">
        <v>51</v>
      </c>
      <c r="D5" s="16" t="s">
        <v>78</v>
      </c>
      <c r="E5" s="16" t="s">
        <v>53</v>
      </c>
      <c r="F5" s="16" t="s">
        <v>79</v>
      </c>
      <c r="G5" s="16" t="s">
        <v>80</v>
      </c>
      <c r="H5" s="16" t="s">
        <v>66</v>
      </c>
      <c r="I5" s="16" t="s">
        <v>81</v>
      </c>
      <c r="J5" s="16" t="n">
        <v>3</v>
      </c>
      <c r="K5" s="17" t="s">
        <v>68</v>
      </c>
      <c r="L5" s="17" t="s">
        <v>31</v>
      </c>
      <c r="M5" s="17"/>
      <c r="N5" s="17"/>
      <c r="O5" s="17"/>
      <c r="P5" s="18" t="s">
        <v>82</v>
      </c>
      <c r="Q5" s="16" t="s">
        <v>76</v>
      </c>
      <c r="R5" s="18" t="s">
        <v>61</v>
      </c>
    </row>
    <row r="6" customFormat="false" ht="42" hidden="false" customHeight="true" outlineLevel="0" collapsed="false">
      <c r="A6" s="10" t="n">
        <v>5</v>
      </c>
      <c r="B6" s="10" t="s">
        <v>83</v>
      </c>
      <c r="C6" s="10" t="s">
        <v>51</v>
      </c>
      <c r="D6" s="10" t="s">
        <v>84</v>
      </c>
      <c r="E6" s="10" t="s">
        <v>53</v>
      </c>
      <c r="F6" s="10" t="s">
        <v>85</v>
      </c>
      <c r="G6" s="10" t="s">
        <v>86</v>
      </c>
      <c r="H6" s="10" t="s">
        <v>87</v>
      </c>
      <c r="I6" s="10" t="s">
        <v>81</v>
      </c>
      <c r="J6" s="10" t="n">
        <v>3</v>
      </c>
      <c r="K6" s="13" t="s">
        <v>58</v>
      </c>
      <c r="L6" s="13" t="s">
        <v>31</v>
      </c>
      <c r="M6" s="13"/>
      <c r="N6" s="13"/>
      <c r="O6" s="13"/>
      <c r="P6" s="14" t="s">
        <v>88</v>
      </c>
      <c r="Q6" s="15" t="s">
        <v>60</v>
      </c>
      <c r="R6" s="14" t="s">
        <v>61</v>
      </c>
    </row>
    <row r="7" customFormat="false" ht="42" hidden="false" customHeight="true" outlineLevel="0" collapsed="false">
      <c r="A7" s="16" t="n">
        <v>6</v>
      </c>
      <c r="B7" s="16" t="s">
        <v>89</v>
      </c>
      <c r="C7" s="16" t="s">
        <v>51</v>
      </c>
      <c r="D7" s="16" t="s">
        <v>90</v>
      </c>
      <c r="E7" s="16" t="s">
        <v>91</v>
      </c>
      <c r="F7" s="16" t="s">
        <v>92</v>
      </c>
      <c r="G7" s="16" t="s">
        <v>93</v>
      </c>
      <c r="H7" s="16" t="s">
        <v>87</v>
      </c>
      <c r="I7" s="16" t="s">
        <v>81</v>
      </c>
      <c r="J7" s="16" t="n">
        <v>3</v>
      </c>
      <c r="K7" s="17" t="s">
        <v>58</v>
      </c>
      <c r="L7" s="17" t="s">
        <v>31</v>
      </c>
      <c r="M7" s="17"/>
      <c r="N7" s="17"/>
      <c r="O7" s="17"/>
      <c r="P7" s="18" t="s">
        <v>94</v>
      </c>
      <c r="Q7" s="15" t="s">
        <v>60</v>
      </c>
      <c r="R7" s="18" t="s">
        <v>61</v>
      </c>
    </row>
    <row r="8" customFormat="false" ht="42" hidden="false" customHeight="true" outlineLevel="0" collapsed="false">
      <c r="A8" s="10" t="n">
        <v>7</v>
      </c>
      <c r="B8" s="10" t="s">
        <v>95</v>
      </c>
      <c r="C8" s="10" t="s">
        <v>51</v>
      </c>
      <c r="D8" s="10" t="s">
        <v>90</v>
      </c>
      <c r="E8" s="10" t="s">
        <v>96</v>
      </c>
      <c r="F8" s="10" t="s">
        <v>92</v>
      </c>
      <c r="G8" s="10" t="s">
        <v>97</v>
      </c>
      <c r="H8" s="10" t="s">
        <v>87</v>
      </c>
      <c r="I8" s="10" t="s">
        <v>81</v>
      </c>
      <c r="J8" s="10" t="n">
        <v>3</v>
      </c>
      <c r="K8" s="13" t="s">
        <v>58</v>
      </c>
      <c r="L8" s="13" t="s">
        <v>31</v>
      </c>
      <c r="M8" s="13"/>
      <c r="N8" s="13"/>
      <c r="O8" s="13"/>
      <c r="P8" s="14" t="s">
        <v>98</v>
      </c>
      <c r="Q8" s="15" t="s">
        <v>60</v>
      </c>
      <c r="R8" s="14" t="s">
        <v>61</v>
      </c>
    </row>
    <row r="9" customFormat="false" ht="42" hidden="false" customHeight="true" outlineLevel="0" collapsed="false">
      <c r="A9" s="16" t="n">
        <v>8</v>
      </c>
      <c r="B9" s="16" t="s">
        <v>99</v>
      </c>
      <c r="C9" s="16" t="s">
        <v>51</v>
      </c>
      <c r="D9" s="16" t="s">
        <v>90</v>
      </c>
      <c r="E9" s="16" t="s">
        <v>100</v>
      </c>
      <c r="F9" s="16" t="s">
        <v>92</v>
      </c>
      <c r="G9" s="16" t="s">
        <v>93</v>
      </c>
      <c r="H9" s="16" t="s">
        <v>87</v>
      </c>
      <c r="I9" s="16" t="s">
        <v>81</v>
      </c>
      <c r="J9" s="16" t="n">
        <v>3</v>
      </c>
      <c r="K9" s="17" t="s">
        <v>58</v>
      </c>
      <c r="L9" s="17" t="s">
        <v>31</v>
      </c>
      <c r="M9" s="17"/>
      <c r="N9" s="17"/>
      <c r="O9" s="17"/>
      <c r="P9" s="18" t="s">
        <v>101</v>
      </c>
      <c r="Q9" s="15" t="s">
        <v>60</v>
      </c>
      <c r="R9" s="18" t="s">
        <v>61</v>
      </c>
    </row>
    <row r="10" customFormat="false" ht="42" hidden="false" customHeight="true" outlineLevel="0" collapsed="false">
      <c r="A10" s="10" t="n">
        <v>9</v>
      </c>
      <c r="B10" s="10" t="s">
        <v>102</v>
      </c>
      <c r="C10" s="10" t="s">
        <v>51</v>
      </c>
      <c r="D10" s="10" t="s">
        <v>90</v>
      </c>
      <c r="E10" s="10" t="s">
        <v>103</v>
      </c>
      <c r="F10" s="10" t="s">
        <v>92</v>
      </c>
      <c r="G10" s="10" t="s">
        <v>104</v>
      </c>
      <c r="H10" s="10" t="s">
        <v>87</v>
      </c>
      <c r="I10" s="10" t="s">
        <v>81</v>
      </c>
      <c r="J10" s="10" t="n">
        <v>3</v>
      </c>
      <c r="K10" s="13" t="s">
        <v>58</v>
      </c>
      <c r="L10" s="13" t="s">
        <v>31</v>
      </c>
      <c r="M10" s="13"/>
      <c r="N10" s="13"/>
      <c r="O10" s="13"/>
      <c r="P10" s="14" t="s">
        <v>105</v>
      </c>
      <c r="Q10" s="15" t="s">
        <v>60</v>
      </c>
      <c r="R10" s="14" t="s">
        <v>61</v>
      </c>
    </row>
    <row r="11" customFormat="false" ht="42" hidden="false" customHeight="true" outlineLevel="0" collapsed="false">
      <c r="A11" s="16" t="n">
        <v>10</v>
      </c>
      <c r="B11" s="16" t="s">
        <v>106</v>
      </c>
      <c r="C11" s="16" t="s">
        <v>51</v>
      </c>
      <c r="D11" s="16" t="s">
        <v>84</v>
      </c>
      <c r="E11" s="16" t="s">
        <v>53</v>
      </c>
      <c r="F11" s="16" t="s">
        <v>85</v>
      </c>
      <c r="G11" s="16" t="s">
        <v>107</v>
      </c>
      <c r="H11" s="16" t="s">
        <v>56</v>
      </c>
      <c r="I11" s="16" t="s">
        <v>81</v>
      </c>
      <c r="J11" s="16" t="n">
        <v>3</v>
      </c>
      <c r="K11" s="17" t="s">
        <v>58</v>
      </c>
      <c r="L11" s="17" t="s">
        <v>31</v>
      </c>
      <c r="M11" s="17"/>
      <c r="N11" s="17"/>
      <c r="O11" s="17"/>
      <c r="P11" s="18" t="s">
        <v>108</v>
      </c>
      <c r="Q11" s="16" t="s">
        <v>76</v>
      </c>
      <c r="R11" s="18" t="s">
        <v>61</v>
      </c>
    </row>
    <row r="12" customFormat="false" ht="42" hidden="false" customHeight="true" outlineLevel="0" collapsed="false">
      <c r="A12" s="10" t="n">
        <v>11</v>
      </c>
      <c r="B12" s="10" t="s">
        <v>109</v>
      </c>
      <c r="C12" s="10" t="s">
        <v>51</v>
      </c>
      <c r="D12" s="10" t="s">
        <v>110</v>
      </c>
      <c r="E12" s="10" t="s">
        <v>53</v>
      </c>
      <c r="F12" s="10" t="s">
        <v>111</v>
      </c>
      <c r="G12" s="10" t="s">
        <v>112</v>
      </c>
      <c r="H12" s="10" t="s">
        <v>66</v>
      </c>
      <c r="I12" s="10" t="s">
        <v>81</v>
      </c>
      <c r="J12" s="10" t="n">
        <v>3</v>
      </c>
      <c r="K12" s="13" t="s">
        <v>58</v>
      </c>
      <c r="L12" s="13" t="s">
        <v>31</v>
      </c>
      <c r="M12" s="13"/>
      <c r="N12" s="13"/>
      <c r="O12" s="13"/>
      <c r="P12" s="14" t="s">
        <v>113</v>
      </c>
      <c r="Q12" s="10" t="s">
        <v>76</v>
      </c>
      <c r="R12" s="14" t="s">
        <v>61</v>
      </c>
    </row>
    <row r="13" customFormat="false" ht="42" hidden="false" customHeight="true" outlineLevel="0" collapsed="false">
      <c r="A13" s="16" t="n">
        <v>12</v>
      </c>
      <c r="B13" s="19" t="s">
        <v>114</v>
      </c>
      <c r="C13" s="16" t="s">
        <v>115</v>
      </c>
      <c r="D13" s="16" t="s">
        <v>116</v>
      </c>
      <c r="E13" s="16" t="s">
        <v>53</v>
      </c>
      <c r="F13" s="16" t="s">
        <v>117</v>
      </c>
      <c r="G13" s="16" t="s">
        <v>118</v>
      </c>
      <c r="H13" s="16" t="s">
        <v>119</v>
      </c>
      <c r="I13" s="16" t="s">
        <v>58</v>
      </c>
      <c r="J13" s="12" t="n">
        <v>1</v>
      </c>
      <c r="K13" s="17" t="s">
        <v>68</v>
      </c>
      <c r="L13" s="17" t="s">
        <v>31</v>
      </c>
      <c r="M13" s="17"/>
      <c r="N13" s="17"/>
      <c r="O13" s="17"/>
      <c r="P13" s="18" t="s">
        <v>120</v>
      </c>
      <c r="Q13" s="16" t="s">
        <v>76</v>
      </c>
      <c r="R13" s="18" t="s">
        <v>61</v>
      </c>
    </row>
    <row r="14" customFormat="false" ht="42" hidden="false" customHeight="true" outlineLevel="0" collapsed="false">
      <c r="A14" s="10" t="n">
        <v>13</v>
      </c>
      <c r="B14" s="11" t="s">
        <v>121</v>
      </c>
      <c r="C14" s="10" t="s">
        <v>115</v>
      </c>
      <c r="D14" s="10" t="s">
        <v>116</v>
      </c>
      <c r="E14" s="10" t="s">
        <v>53</v>
      </c>
      <c r="F14" s="10" t="s">
        <v>122</v>
      </c>
      <c r="G14" s="10" t="s">
        <v>123</v>
      </c>
      <c r="H14" s="10" t="s">
        <v>124</v>
      </c>
      <c r="I14" s="10" t="s">
        <v>58</v>
      </c>
      <c r="J14" s="12" t="n">
        <v>1</v>
      </c>
      <c r="K14" s="13" t="s">
        <v>68</v>
      </c>
      <c r="L14" s="13" t="s">
        <v>31</v>
      </c>
      <c r="M14" s="13"/>
      <c r="N14" s="13"/>
      <c r="O14" s="13"/>
      <c r="P14" s="14" t="s">
        <v>125</v>
      </c>
      <c r="Q14" s="15" t="s">
        <v>60</v>
      </c>
      <c r="R14" s="14" t="s">
        <v>61</v>
      </c>
    </row>
    <row r="15" customFormat="false" ht="42" hidden="false" customHeight="true" outlineLevel="0" collapsed="false">
      <c r="A15" s="16" t="n">
        <v>14</v>
      </c>
      <c r="B15" s="19" t="s">
        <v>126</v>
      </c>
      <c r="C15" s="16" t="s">
        <v>115</v>
      </c>
      <c r="D15" s="16" t="s">
        <v>116</v>
      </c>
      <c r="E15" s="16" t="s">
        <v>53</v>
      </c>
      <c r="F15" s="16" t="s">
        <v>127</v>
      </c>
      <c r="G15" s="16" t="s">
        <v>128</v>
      </c>
      <c r="H15" s="16" t="s">
        <v>129</v>
      </c>
      <c r="I15" s="16" t="s">
        <v>58</v>
      </c>
      <c r="J15" s="12" t="n">
        <v>1</v>
      </c>
      <c r="K15" s="17" t="s">
        <v>68</v>
      </c>
      <c r="L15" s="17" t="s">
        <v>31</v>
      </c>
      <c r="M15" s="17"/>
      <c r="N15" s="17"/>
      <c r="O15" s="17"/>
      <c r="P15" s="18" t="s">
        <v>130</v>
      </c>
      <c r="Q15" s="15" t="s">
        <v>60</v>
      </c>
      <c r="R15" s="18" t="s">
        <v>61</v>
      </c>
    </row>
    <row r="16" customFormat="false" ht="42" hidden="false" customHeight="true" outlineLevel="0" collapsed="false">
      <c r="A16" s="10" t="n">
        <v>15</v>
      </c>
      <c r="B16" s="11" t="s">
        <v>131</v>
      </c>
      <c r="C16" s="10" t="s">
        <v>115</v>
      </c>
      <c r="D16" s="10" t="s">
        <v>116</v>
      </c>
      <c r="E16" s="10" t="s">
        <v>53</v>
      </c>
      <c r="F16" s="10" t="s">
        <v>132</v>
      </c>
      <c r="G16" s="10" t="s">
        <v>133</v>
      </c>
      <c r="H16" s="10" t="s">
        <v>134</v>
      </c>
      <c r="I16" s="10" t="s">
        <v>58</v>
      </c>
      <c r="J16" s="12" t="n">
        <v>1</v>
      </c>
      <c r="K16" s="13" t="s">
        <v>68</v>
      </c>
      <c r="L16" s="13" t="s">
        <v>31</v>
      </c>
      <c r="M16" s="13"/>
      <c r="N16" s="13"/>
      <c r="O16" s="13"/>
      <c r="P16" s="14" t="s">
        <v>135</v>
      </c>
      <c r="Q16" s="15" t="s">
        <v>60</v>
      </c>
      <c r="R16" s="14" t="s">
        <v>61</v>
      </c>
    </row>
    <row r="17" customFormat="false" ht="42" hidden="false" customHeight="true" outlineLevel="0" collapsed="false">
      <c r="A17" s="16" t="n">
        <v>16</v>
      </c>
      <c r="B17" s="16" t="s">
        <v>136</v>
      </c>
      <c r="C17" s="16" t="s">
        <v>115</v>
      </c>
      <c r="D17" s="16" t="s">
        <v>137</v>
      </c>
      <c r="E17" s="16" t="s">
        <v>53</v>
      </c>
      <c r="F17" s="16" t="s">
        <v>138</v>
      </c>
      <c r="G17" s="16" t="s">
        <v>139</v>
      </c>
      <c r="H17" s="16" t="s">
        <v>119</v>
      </c>
      <c r="I17" s="16" t="s">
        <v>58</v>
      </c>
      <c r="J17" s="16" t="n">
        <v>2</v>
      </c>
      <c r="K17" s="17" t="s">
        <v>58</v>
      </c>
      <c r="L17" s="17" t="s">
        <v>31</v>
      </c>
      <c r="M17" s="17"/>
      <c r="N17" s="17"/>
      <c r="O17" s="17"/>
      <c r="P17" s="18" t="s">
        <v>140</v>
      </c>
      <c r="Q17" s="15" t="s">
        <v>60</v>
      </c>
      <c r="R17" s="18" t="s">
        <v>61</v>
      </c>
    </row>
    <row r="18" customFormat="false" ht="42" hidden="false" customHeight="true" outlineLevel="0" collapsed="false">
      <c r="A18" s="10" t="n">
        <v>17</v>
      </c>
      <c r="B18" s="10" t="s">
        <v>141</v>
      </c>
      <c r="C18" s="10" t="s">
        <v>115</v>
      </c>
      <c r="D18" s="10" t="s">
        <v>116</v>
      </c>
      <c r="E18" s="10" t="s">
        <v>142</v>
      </c>
      <c r="F18" s="10" t="s">
        <v>143</v>
      </c>
      <c r="G18" s="10" t="s">
        <v>144</v>
      </c>
      <c r="H18" s="10" t="s">
        <v>145</v>
      </c>
      <c r="I18" s="10" t="s">
        <v>58</v>
      </c>
      <c r="J18" s="10" t="n">
        <v>2</v>
      </c>
      <c r="K18" s="13" t="s">
        <v>68</v>
      </c>
      <c r="L18" s="13" t="s">
        <v>31</v>
      </c>
      <c r="M18" s="13"/>
      <c r="N18" s="13"/>
      <c r="O18" s="13"/>
      <c r="P18" s="14" t="s">
        <v>146</v>
      </c>
      <c r="Q18" s="15" t="s">
        <v>60</v>
      </c>
      <c r="R18" s="14" t="s">
        <v>61</v>
      </c>
    </row>
    <row r="19" customFormat="false" ht="42" hidden="false" customHeight="true" outlineLevel="0" collapsed="false">
      <c r="A19" s="16" t="n">
        <v>18</v>
      </c>
      <c r="B19" s="16" t="s">
        <v>147</v>
      </c>
      <c r="C19" s="16" t="s">
        <v>115</v>
      </c>
      <c r="D19" s="16" t="s">
        <v>137</v>
      </c>
      <c r="E19" s="16" t="s">
        <v>53</v>
      </c>
      <c r="F19" s="16" t="s">
        <v>138</v>
      </c>
      <c r="G19" s="16"/>
      <c r="H19" s="16" t="s">
        <v>129</v>
      </c>
      <c r="I19" s="16" t="s">
        <v>58</v>
      </c>
      <c r="J19" s="16" t="n">
        <v>2</v>
      </c>
      <c r="K19" s="17" t="s">
        <v>58</v>
      </c>
      <c r="L19" s="17" t="s">
        <v>31</v>
      </c>
      <c r="M19" s="17"/>
      <c r="N19" s="17"/>
      <c r="O19" s="17"/>
      <c r="P19" s="18" t="s">
        <v>148</v>
      </c>
      <c r="Q19" s="16" t="s">
        <v>76</v>
      </c>
      <c r="R19" s="18" t="s">
        <v>61</v>
      </c>
    </row>
    <row r="20" customFormat="false" ht="42" hidden="false" customHeight="true" outlineLevel="0" collapsed="false">
      <c r="A20" s="10" t="n">
        <v>19</v>
      </c>
      <c r="B20" s="10" t="s">
        <v>149</v>
      </c>
      <c r="C20" s="10" t="s">
        <v>115</v>
      </c>
      <c r="D20" s="10" t="s">
        <v>150</v>
      </c>
      <c r="E20" s="10" t="s">
        <v>53</v>
      </c>
      <c r="F20" s="10" t="s">
        <v>151</v>
      </c>
      <c r="G20" s="10"/>
      <c r="H20" s="10" t="s">
        <v>129</v>
      </c>
      <c r="I20" s="10" t="s">
        <v>58</v>
      </c>
      <c r="J20" s="10" t="n">
        <v>3</v>
      </c>
      <c r="K20" s="13" t="s">
        <v>58</v>
      </c>
      <c r="L20" s="13" t="s">
        <v>31</v>
      </c>
      <c r="M20" s="13"/>
      <c r="N20" s="13"/>
      <c r="O20" s="13"/>
      <c r="P20" s="14" t="s">
        <v>152</v>
      </c>
      <c r="Q20" s="15" t="s">
        <v>60</v>
      </c>
      <c r="R20" s="14" t="s">
        <v>61</v>
      </c>
    </row>
    <row r="21" customFormat="false" ht="42" hidden="false" customHeight="true" outlineLevel="0" collapsed="false">
      <c r="A21" s="16" t="n">
        <v>20</v>
      </c>
      <c r="B21" s="16" t="s">
        <v>153</v>
      </c>
      <c r="C21" s="16" t="s">
        <v>115</v>
      </c>
      <c r="D21" s="16" t="s">
        <v>116</v>
      </c>
      <c r="E21" s="16" t="s">
        <v>53</v>
      </c>
      <c r="F21" s="16" t="s">
        <v>154</v>
      </c>
      <c r="G21" s="16" t="s">
        <v>155</v>
      </c>
      <c r="H21" s="16" t="s">
        <v>129</v>
      </c>
      <c r="I21" s="16" t="s">
        <v>58</v>
      </c>
      <c r="J21" s="16" t="n">
        <v>3</v>
      </c>
      <c r="K21" s="17" t="s">
        <v>58</v>
      </c>
      <c r="L21" s="17" t="s">
        <v>31</v>
      </c>
      <c r="M21" s="17"/>
      <c r="N21" s="17"/>
      <c r="O21" s="17"/>
      <c r="P21" s="18" t="s">
        <v>156</v>
      </c>
      <c r="Q21" s="15" t="s">
        <v>60</v>
      </c>
      <c r="R21" s="18" t="s">
        <v>61</v>
      </c>
    </row>
    <row r="22" customFormat="false" ht="42" hidden="false" customHeight="true" outlineLevel="0" collapsed="false">
      <c r="A22" s="10" t="n">
        <v>21</v>
      </c>
      <c r="B22" s="10" t="s">
        <v>157</v>
      </c>
      <c r="C22" s="10" t="s">
        <v>115</v>
      </c>
      <c r="D22" s="10" t="s">
        <v>116</v>
      </c>
      <c r="E22" s="10" t="s">
        <v>53</v>
      </c>
      <c r="F22" s="10" t="s">
        <v>158</v>
      </c>
      <c r="G22" s="10"/>
      <c r="H22" s="10" t="s">
        <v>159</v>
      </c>
      <c r="I22" s="10" t="s">
        <v>58</v>
      </c>
      <c r="J22" s="10" t="n">
        <v>3</v>
      </c>
      <c r="K22" s="13" t="s">
        <v>68</v>
      </c>
      <c r="L22" s="13" t="s">
        <v>31</v>
      </c>
      <c r="M22" s="13"/>
      <c r="N22" s="13"/>
      <c r="O22" s="13"/>
      <c r="P22" s="14" t="s">
        <v>160</v>
      </c>
      <c r="Q22" s="10" t="s">
        <v>76</v>
      </c>
      <c r="R22" s="14" t="s">
        <v>61</v>
      </c>
    </row>
    <row r="23" customFormat="false" ht="42" hidden="false" customHeight="true" outlineLevel="0" collapsed="false">
      <c r="A23" s="16" t="n">
        <v>22</v>
      </c>
      <c r="B23" s="16" t="s">
        <v>161</v>
      </c>
      <c r="C23" s="16" t="s">
        <v>115</v>
      </c>
      <c r="D23" s="16" t="s">
        <v>137</v>
      </c>
      <c r="E23" s="16" t="s">
        <v>53</v>
      </c>
      <c r="F23" s="16" t="s">
        <v>138</v>
      </c>
      <c r="G23" s="16"/>
      <c r="H23" s="16" t="s">
        <v>159</v>
      </c>
      <c r="I23" s="16" t="s">
        <v>58</v>
      </c>
      <c r="J23" s="16" t="n">
        <v>3</v>
      </c>
      <c r="K23" s="17" t="s">
        <v>58</v>
      </c>
      <c r="L23" s="17" t="s">
        <v>31</v>
      </c>
      <c r="M23" s="17"/>
      <c r="N23" s="17"/>
      <c r="O23" s="17"/>
      <c r="P23" s="18" t="s">
        <v>162</v>
      </c>
      <c r="Q23" s="16" t="s">
        <v>76</v>
      </c>
      <c r="R23" s="18" t="s">
        <v>61</v>
      </c>
    </row>
    <row r="24" customFormat="false" ht="42" hidden="false" customHeight="true" outlineLevel="0" collapsed="false">
      <c r="A24" s="10" t="n">
        <v>23</v>
      </c>
      <c r="B24" s="10" t="s">
        <v>163</v>
      </c>
      <c r="C24" s="10" t="s">
        <v>115</v>
      </c>
      <c r="D24" s="10" t="s">
        <v>150</v>
      </c>
      <c r="E24" s="10" t="s">
        <v>53</v>
      </c>
      <c r="F24" s="10" t="s">
        <v>151</v>
      </c>
      <c r="G24" s="10"/>
      <c r="H24" s="10" t="s">
        <v>159</v>
      </c>
      <c r="I24" s="10" t="s">
        <v>58</v>
      </c>
      <c r="J24" s="10" t="n">
        <v>3</v>
      </c>
      <c r="K24" s="13" t="s">
        <v>68</v>
      </c>
      <c r="L24" s="13" t="s">
        <v>31</v>
      </c>
      <c r="M24" s="13"/>
      <c r="N24" s="13"/>
      <c r="O24" s="13"/>
      <c r="P24" s="14" t="s">
        <v>164</v>
      </c>
      <c r="Q24" s="10" t="s">
        <v>76</v>
      </c>
      <c r="R24" s="14" t="s">
        <v>61</v>
      </c>
    </row>
    <row r="25" customFormat="false" ht="42" hidden="false" customHeight="true" outlineLevel="0" collapsed="false">
      <c r="A25" s="16" t="n">
        <v>24</v>
      </c>
      <c r="B25" s="16" t="s">
        <v>165</v>
      </c>
      <c r="C25" s="16" t="s">
        <v>115</v>
      </c>
      <c r="D25" s="16" t="s">
        <v>150</v>
      </c>
      <c r="E25" s="16" t="s">
        <v>53</v>
      </c>
      <c r="F25" s="16" t="s">
        <v>166</v>
      </c>
      <c r="G25" s="16"/>
      <c r="H25" s="16" t="s">
        <v>129</v>
      </c>
      <c r="I25" s="16" t="s">
        <v>58</v>
      </c>
      <c r="J25" s="16" t="n">
        <v>3</v>
      </c>
      <c r="K25" s="17" t="s">
        <v>68</v>
      </c>
      <c r="L25" s="17" t="s">
        <v>31</v>
      </c>
      <c r="M25" s="17"/>
      <c r="N25" s="17"/>
      <c r="O25" s="17"/>
      <c r="P25" s="18" t="s">
        <v>167</v>
      </c>
      <c r="Q25" s="15" t="s">
        <v>60</v>
      </c>
      <c r="R25" s="18" t="s">
        <v>61</v>
      </c>
    </row>
    <row r="26" customFormat="false" ht="42" hidden="false" customHeight="true" outlineLevel="0" collapsed="false">
      <c r="A26" s="10" t="n">
        <v>25</v>
      </c>
      <c r="B26" s="10" t="s">
        <v>168</v>
      </c>
      <c r="C26" s="10" t="s">
        <v>115</v>
      </c>
      <c r="D26" s="10" t="s">
        <v>137</v>
      </c>
      <c r="E26" s="10" t="s">
        <v>53</v>
      </c>
      <c r="F26" s="10" t="s">
        <v>151</v>
      </c>
      <c r="G26" s="10"/>
      <c r="H26" s="10" t="s">
        <v>159</v>
      </c>
      <c r="I26" s="10" t="s">
        <v>58</v>
      </c>
      <c r="J26" s="10" t="n">
        <v>3</v>
      </c>
      <c r="K26" s="13" t="s">
        <v>58</v>
      </c>
      <c r="L26" s="13" t="s">
        <v>31</v>
      </c>
      <c r="M26" s="13"/>
      <c r="N26" s="13"/>
      <c r="O26" s="13"/>
      <c r="P26" s="14" t="s">
        <v>169</v>
      </c>
      <c r="Q26" s="15" t="s">
        <v>60</v>
      </c>
      <c r="R26" s="14" t="s">
        <v>61</v>
      </c>
    </row>
    <row r="27" customFormat="false" ht="42" hidden="false" customHeight="true" outlineLevel="0" collapsed="false">
      <c r="A27" s="16" t="n">
        <v>26</v>
      </c>
      <c r="B27" s="16" t="s">
        <v>170</v>
      </c>
      <c r="C27" s="16" t="s">
        <v>115</v>
      </c>
      <c r="D27" s="16" t="s">
        <v>150</v>
      </c>
      <c r="E27" s="16" t="s">
        <v>53</v>
      </c>
      <c r="F27" s="16" t="s">
        <v>151</v>
      </c>
      <c r="G27" s="16"/>
      <c r="H27" s="16" t="s">
        <v>129</v>
      </c>
      <c r="I27" s="16" t="s">
        <v>58</v>
      </c>
      <c r="J27" s="16" t="n">
        <v>3</v>
      </c>
      <c r="K27" s="17" t="s">
        <v>68</v>
      </c>
      <c r="L27" s="17" t="s">
        <v>31</v>
      </c>
      <c r="M27" s="17"/>
      <c r="N27" s="17"/>
      <c r="O27" s="17"/>
      <c r="P27" s="18" t="s">
        <v>171</v>
      </c>
      <c r="Q27" s="15" t="s">
        <v>60</v>
      </c>
      <c r="R27" s="18" t="s">
        <v>61</v>
      </c>
    </row>
    <row r="28" customFormat="false" ht="42" hidden="false" customHeight="true" outlineLevel="0" collapsed="false">
      <c r="A28" s="10" t="n">
        <v>27</v>
      </c>
      <c r="B28" s="10" t="s">
        <v>172</v>
      </c>
      <c r="C28" s="10" t="s">
        <v>115</v>
      </c>
      <c r="D28" s="10" t="s">
        <v>150</v>
      </c>
      <c r="E28" s="10" t="s">
        <v>53</v>
      </c>
      <c r="F28" s="10" t="s">
        <v>151</v>
      </c>
      <c r="G28" s="10"/>
      <c r="H28" s="10" t="s">
        <v>159</v>
      </c>
      <c r="I28" s="10" t="s">
        <v>58</v>
      </c>
      <c r="J28" s="10" t="n">
        <v>3</v>
      </c>
      <c r="K28" s="13" t="s">
        <v>68</v>
      </c>
      <c r="L28" s="13" t="s">
        <v>31</v>
      </c>
      <c r="M28" s="13"/>
      <c r="N28" s="13"/>
      <c r="O28" s="13"/>
      <c r="P28" s="14" t="s">
        <v>173</v>
      </c>
      <c r="Q28" s="15" t="s">
        <v>60</v>
      </c>
      <c r="R28" s="14" t="s">
        <v>61</v>
      </c>
    </row>
    <row r="29" customFormat="false" ht="42" hidden="false" customHeight="true" outlineLevel="0" collapsed="false">
      <c r="A29" s="16" t="n">
        <v>28</v>
      </c>
      <c r="B29" s="16" t="s">
        <v>174</v>
      </c>
      <c r="C29" s="16" t="s">
        <v>115</v>
      </c>
      <c r="D29" s="16" t="s">
        <v>150</v>
      </c>
      <c r="E29" s="16" t="s">
        <v>53</v>
      </c>
      <c r="F29" s="16" t="s">
        <v>151</v>
      </c>
      <c r="G29" s="16"/>
      <c r="H29" s="16" t="s">
        <v>159</v>
      </c>
      <c r="I29" s="16" t="s">
        <v>58</v>
      </c>
      <c r="J29" s="16" t="n">
        <v>3</v>
      </c>
      <c r="K29" s="17" t="s">
        <v>68</v>
      </c>
      <c r="L29" s="17" t="s">
        <v>31</v>
      </c>
      <c r="M29" s="17"/>
      <c r="N29" s="17"/>
      <c r="O29" s="17"/>
      <c r="P29" s="18" t="s">
        <v>175</v>
      </c>
      <c r="Q29" s="15" t="s">
        <v>60</v>
      </c>
      <c r="R29" s="18" t="s">
        <v>61</v>
      </c>
    </row>
    <row r="30" customFormat="false" ht="42" hidden="false" customHeight="true" outlineLevel="0" collapsed="false">
      <c r="A30" s="10" t="n">
        <v>29</v>
      </c>
      <c r="B30" s="10" t="s">
        <v>176</v>
      </c>
      <c r="C30" s="10" t="s">
        <v>115</v>
      </c>
      <c r="D30" s="10" t="s">
        <v>137</v>
      </c>
      <c r="E30" s="10" t="s">
        <v>53</v>
      </c>
      <c r="F30" s="10" t="s">
        <v>151</v>
      </c>
      <c r="G30" s="10"/>
      <c r="H30" s="10" t="s">
        <v>129</v>
      </c>
      <c r="I30" s="10" t="s">
        <v>58</v>
      </c>
      <c r="J30" s="10" t="n">
        <v>3</v>
      </c>
      <c r="K30" s="13" t="s">
        <v>58</v>
      </c>
      <c r="L30" s="13" t="s">
        <v>31</v>
      </c>
      <c r="M30" s="13"/>
      <c r="N30" s="13"/>
      <c r="O30" s="13"/>
      <c r="P30" s="14" t="s">
        <v>177</v>
      </c>
      <c r="Q30" s="10" t="s">
        <v>76</v>
      </c>
      <c r="R30" s="14" t="s">
        <v>61</v>
      </c>
    </row>
    <row r="31" customFormat="false" ht="42" hidden="false" customHeight="true" outlineLevel="0" collapsed="false">
      <c r="A31" s="16" t="n">
        <v>30</v>
      </c>
      <c r="B31" s="16" t="s">
        <v>178</v>
      </c>
      <c r="C31" s="16" t="s">
        <v>115</v>
      </c>
      <c r="D31" s="16" t="s">
        <v>179</v>
      </c>
      <c r="E31" s="16" t="s">
        <v>53</v>
      </c>
      <c r="F31" s="16" t="s">
        <v>151</v>
      </c>
      <c r="G31" s="16"/>
      <c r="H31" s="16" t="s">
        <v>129</v>
      </c>
      <c r="I31" s="16" t="s">
        <v>58</v>
      </c>
      <c r="J31" s="16" t="n">
        <v>3</v>
      </c>
      <c r="K31" s="17" t="s">
        <v>68</v>
      </c>
      <c r="L31" s="17" t="s">
        <v>31</v>
      </c>
      <c r="M31" s="17"/>
      <c r="N31" s="17"/>
      <c r="O31" s="17"/>
      <c r="P31" s="18" t="s">
        <v>180</v>
      </c>
      <c r="Q31" s="16" t="s">
        <v>76</v>
      </c>
      <c r="R31" s="18" t="s">
        <v>61</v>
      </c>
    </row>
    <row r="32" customFormat="false" ht="42" hidden="false" customHeight="true" outlineLevel="0" collapsed="false">
      <c r="A32" s="10" t="n">
        <v>31</v>
      </c>
      <c r="B32" s="10" t="s">
        <v>181</v>
      </c>
      <c r="C32" s="10" t="s">
        <v>115</v>
      </c>
      <c r="D32" s="10" t="s">
        <v>137</v>
      </c>
      <c r="E32" s="10" t="s">
        <v>53</v>
      </c>
      <c r="F32" s="10" t="s">
        <v>138</v>
      </c>
      <c r="G32" s="10"/>
      <c r="H32" s="10" t="s">
        <v>159</v>
      </c>
      <c r="I32" s="10" t="s">
        <v>58</v>
      </c>
      <c r="J32" s="10" t="n">
        <v>3</v>
      </c>
      <c r="K32" s="13" t="s">
        <v>58</v>
      </c>
      <c r="L32" s="13" t="s">
        <v>31</v>
      </c>
      <c r="M32" s="13"/>
      <c r="N32" s="13"/>
      <c r="O32" s="13"/>
      <c r="P32" s="14" t="s">
        <v>182</v>
      </c>
      <c r="Q32" s="10" t="s">
        <v>76</v>
      </c>
      <c r="R32" s="14" t="s">
        <v>61</v>
      </c>
    </row>
    <row r="33" customFormat="false" ht="42" hidden="false" customHeight="true" outlineLevel="0" collapsed="false">
      <c r="A33" s="16" t="n">
        <v>32</v>
      </c>
      <c r="B33" s="19" t="s">
        <v>183</v>
      </c>
      <c r="C33" s="16" t="s">
        <v>184</v>
      </c>
      <c r="D33" s="16" t="s">
        <v>185</v>
      </c>
      <c r="E33" s="16" t="s">
        <v>53</v>
      </c>
      <c r="F33" s="16" t="s">
        <v>186</v>
      </c>
      <c r="G33" s="16" t="s">
        <v>187</v>
      </c>
      <c r="H33" s="16" t="s">
        <v>188</v>
      </c>
      <c r="I33" s="16" t="s">
        <v>57</v>
      </c>
      <c r="J33" s="12" t="n">
        <v>1</v>
      </c>
      <c r="K33" s="17" t="s">
        <v>68</v>
      </c>
      <c r="L33" s="17" t="s">
        <v>31</v>
      </c>
      <c r="M33" s="17"/>
      <c r="N33" s="17"/>
      <c r="O33" s="17"/>
      <c r="P33" s="18" t="s">
        <v>189</v>
      </c>
      <c r="Q33" s="16" t="s">
        <v>76</v>
      </c>
      <c r="R33" s="18" t="s">
        <v>61</v>
      </c>
    </row>
    <row r="34" customFormat="false" ht="42" hidden="false" customHeight="true" outlineLevel="0" collapsed="false">
      <c r="A34" s="10" t="n">
        <v>33</v>
      </c>
      <c r="B34" s="11" t="s">
        <v>190</v>
      </c>
      <c r="C34" s="10" t="s">
        <v>184</v>
      </c>
      <c r="D34" s="10" t="s">
        <v>191</v>
      </c>
      <c r="E34" s="10" t="s">
        <v>192</v>
      </c>
      <c r="F34" s="10" t="s">
        <v>193</v>
      </c>
      <c r="G34" s="10" t="s">
        <v>194</v>
      </c>
      <c r="H34" s="10" t="s">
        <v>195</v>
      </c>
      <c r="I34" s="10" t="s">
        <v>58</v>
      </c>
      <c r="J34" s="12" t="n">
        <v>1</v>
      </c>
      <c r="K34" s="13" t="s">
        <v>68</v>
      </c>
      <c r="L34" s="13" t="s">
        <v>31</v>
      </c>
      <c r="M34" s="13"/>
      <c r="N34" s="13"/>
      <c r="O34" s="13"/>
      <c r="P34" s="14" t="s">
        <v>196</v>
      </c>
      <c r="Q34" s="10" t="s">
        <v>76</v>
      </c>
      <c r="R34" s="14" t="s">
        <v>61</v>
      </c>
    </row>
    <row r="35" customFormat="false" ht="42" hidden="false" customHeight="true" outlineLevel="0" collapsed="false">
      <c r="A35" s="16" t="n">
        <v>34</v>
      </c>
      <c r="B35" s="16" t="s">
        <v>197</v>
      </c>
      <c r="C35" s="16" t="s">
        <v>184</v>
      </c>
      <c r="D35" s="16" t="s">
        <v>198</v>
      </c>
      <c r="E35" s="16" t="s">
        <v>199</v>
      </c>
      <c r="F35" s="16" t="s">
        <v>200</v>
      </c>
      <c r="G35" s="16" t="s">
        <v>201</v>
      </c>
      <c r="H35" s="16" t="s">
        <v>129</v>
      </c>
      <c r="I35" s="16" t="s">
        <v>202</v>
      </c>
      <c r="J35" s="16" t="n">
        <v>3</v>
      </c>
      <c r="K35" s="17" t="s">
        <v>58</v>
      </c>
      <c r="L35" s="17" t="s">
        <v>31</v>
      </c>
      <c r="M35" s="17"/>
      <c r="N35" s="17"/>
      <c r="O35" s="17"/>
      <c r="P35" s="18" t="s">
        <v>203</v>
      </c>
      <c r="Q35" s="16" t="s">
        <v>76</v>
      </c>
      <c r="R35" s="18" t="s">
        <v>61</v>
      </c>
    </row>
    <row r="36" customFormat="false" ht="42" hidden="false" customHeight="true" outlineLevel="0" collapsed="false">
      <c r="A36" s="10" t="n">
        <v>35</v>
      </c>
      <c r="B36" s="10" t="s">
        <v>204</v>
      </c>
      <c r="C36" s="10" t="s">
        <v>184</v>
      </c>
      <c r="D36" s="10" t="s">
        <v>198</v>
      </c>
      <c r="E36" s="10" t="s">
        <v>53</v>
      </c>
      <c r="F36" s="10" t="s">
        <v>200</v>
      </c>
      <c r="G36" s="10" t="s">
        <v>205</v>
      </c>
      <c r="H36" s="10" t="s">
        <v>206</v>
      </c>
      <c r="I36" s="10" t="s">
        <v>81</v>
      </c>
      <c r="J36" s="10" t="n">
        <v>3</v>
      </c>
      <c r="K36" s="13" t="s">
        <v>58</v>
      </c>
      <c r="L36" s="13" t="s">
        <v>31</v>
      </c>
      <c r="M36" s="13"/>
      <c r="N36" s="13"/>
      <c r="O36" s="13"/>
      <c r="P36" s="14" t="s">
        <v>207</v>
      </c>
      <c r="Q36" s="15" t="s">
        <v>60</v>
      </c>
      <c r="R36" s="14" t="s">
        <v>61</v>
      </c>
    </row>
    <row r="37" customFormat="false" ht="42" hidden="false" customHeight="true" outlineLevel="0" collapsed="false">
      <c r="A37" s="16" t="n">
        <v>36</v>
      </c>
      <c r="B37" s="16" t="s">
        <v>208</v>
      </c>
      <c r="C37" s="16" t="s">
        <v>184</v>
      </c>
      <c r="D37" s="16" t="s">
        <v>198</v>
      </c>
      <c r="E37" s="16" t="s">
        <v>209</v>
      </c>
      <c r="F37" s="16" t="s">
        <v>200</v>
      </c>
      <c r="G37" s="16" t="s">
        <v>210</v>
      </c>
      <c r="H37" s="16" t="s">
        <v>119</v>
      </c>
      <c r="I37" s="16" t="s">
        <v>202</v>
      </c>
      <c r="J37" s="16" t="n">
        <v>3</v>
      </c>
      <c r="K37" s="17" t="s">
        <v>58</v>
      </c>
      <c r="L37" s="17" t="s">
        <v>31</v>
      </c>
      <c r="M37" s="17"/>
      <c r="N37" s="17"/>
      <c r="O37" s="17"/>
      <c r="P37" s="18" t="s">
        <v>211</v>
      </c>
      <c r="Q37" s="16" t="s">
        <v>76</v>
      </c>
      <c r="R37" s="18" t="s">
        <v>61</v>
      </c>
    </row>
    <row r="38" customFormat="false" ht="42" hidden="false" customHeight="true" outlineLevel="0" collapsed="false">
      <c r="A38" s="10" t="n">
        <v>37</v>
      </c>
      <c r="B38" s="10" t="s">
        <v>212</v>
      </c>
      <c r="C38" s="10" t="s">
        <v>184</v>
      </c>
      <c r="D38" s="10" t="s">
        <v>213</v>
      </c>
      <c r="E38" s="10" t="s">
        <v>53</v>
      </c>
      <c r="F38" s="10" t="s">
        <v>214</v>
      </c>
      <c r="G38" s="10" t="s">
        <v>215</v>
      </c>
      <c r="H38" s="10" t="s">
        <v>216</v>
      </c>
      <c r="I38" s="10" t="s">
        <v>58</v>
      </c>
      <c r="J38" s="10" t="n">
        <v>3</v>
      </c>
      <c r="K38" s="13" t="s">
        <v>58</v>
      </c>
      <c r="L38" s="13" t="s">
        <v>31</v>
      </c>
      <c r="M38" s="13"/>
      <c r="N38" s="13"/>
      <c r="O38" s="13"/>
      <c r="P38" s="14" t="s">
        <v>217</v>
      </c>
      <c r="Q38" s="10" t="s">
        <v>76</v>
      </c>
      <c r="R38" s="14" t="s">
        <v>61</v>
      </c>
    </row>
    <row r="39" customFormat="false" ht="42" hidden="false" customHeight="true" outlineLevel="0" collapsed="false">
      <c r="A39" s="16" t="n">
        <v>38</v>
      </c>
      <c r="B39" s="19" t="s">
        <v>218</v>
      </c>
      <c r="C39" s="16" t="s">
        <v>219</v>
      </c>
      <c r="D39" s="16" t="s">
        <v>220</v>
      </c>
      <c r="E39" s="16" t="s">
        <v>53</v>
      </c>
      <c r="F39" s="16" t="s">
        <v>221</v>
      </c>
      <c r="G39" s="16" t="s">
        <v>222</v>
      </c>
      <c r="H39" s="16" t="s">
        <v>87</v>
      </c>
      <c r="I39" s="16" t="s">
        <v>58</v>
      </c>
      <c r="J39" s="12" t="n">
        <v>1</v>
      </c>
      <c r="K39" s="17" t="s">
        <v>68</v>
      </c>
      <c r="L39" s="17" t="s">
        <v>31</v>
      </c>
      <c r="M39" s="17"/>
      <c r="N39" s="17"/>
      <c r="O39" s="17"/>
      <c r="P39" s="18" t="s">
        <v>223</v>
      </c>
      <c r="Q39" s="16" t="s">
        <v>76</v>
      </c>
      <c r="R39" s="18" t="s">
        <v>61</v>
      </c>
    </row>
    <row r="40" customFormat="false" ht="42" hidden="false" customHeight="true" outlineLevel="0" collapsed="false">
      <c r="A40" s="10" t="n">
        <v>39</v>
      </c>
      <c r="B40" s="11" t="s">
        <v>224</v>
      </c>
      <c r="C40" s="10" t="s">
        <v>219</v>
      </c>
      <c r="D40" s="10" t="s">
        <v>225</v>
      </c>
      <c r="E40" s="10" t="s">
        <v>53</v>
      </c>
      <c r="F40" s="10" t="s">
        <v>226</v>
      </c>
      <c r="G40" s="10" t="s">
        <v>227</v>
      </c>
      <c r="H40" s="10" t="s">
        <v>206</v>
      </c>
      <c r="I40" s="10" t="s">
        <v>58</v>
      </c>
      <c r="J40" s="12" t="n">
        <v>1</v>
      </c>
      <c r="K40" s="13" t="s">
        <v>68</v>
      </c>
      <c r="L40" s="13" t="s">
        <v>31</v>
      </c>
      <c r="M40" s="13"/>
      <c r="N40" s="13"/>
      <c r="O40" s="13"/>
      <c r="P40" s="14" t="s">
        <v>228</v>
      </c>
      <c r="Q40" s="15" t="s">
        <v>60</v>
      </c>
      <c r="R40" s="14" t="s">
        <v>61</v>
      </c>
    </row>
    <row r="41" customFormat="false" ht="42" hidden="false" customHeight="true" outlineLevel="0" collapsed="false">
      <c r="A41" s="16" t="n">
        <v>40</v>
      </c>
      <c r="B41" s="19" t="s">
        <v>229</v>
      </c>
      <c r="C41" s="16" t="s">
        <v>219</v>
      </c>
      <c r="D41" s="16" t="s">
        <v>230</v>
      </c>
      <c r="E41" s="16" t="s">
        <v>53</v>
      </c>
      <c r="F41" s="16" t="s">
        <v>231</v>
      </c>
      <c r="G41" s="16"/>
      <c r="H41" s="16" t="s">
        <v>206</v>
      </c>
      <c r="I41" s="16" t="s">
        <v>58</v>
      </c>
      <c r="J41" s="12" t="n">
        <v>1</v>
      </c>
      <c r="K41" s="17" t="s">
        <v>68</v>
      </c>
      <c r="L41" s="17" t="s">
        <v>31</v>
      </c>
      <c r="M41" s="17"/>
      <c r="N41" s="17"/>
      <c r="O41" s="17"/>
      <c r="P41" s="18" t="s">
        <v>232</v>
      </c>
      <c r="Q41" s="16" t="s">
        <v>76</v>
      </c>
      <c r="R41" s="18" t="s">
        <v>61</v>
      </c>
    </row>
    <row r="42" customFormat="false" ht="42" hidden="false" customHeight="true" outlineLevel="0" collapsed="false">
      <c r="A42" s="10" t="n">
        <v>41</v>
      </c>
      <c r="B42" s="11" t="s">
        <v>233</v>
      </c>
      <c r="C42" s="10" t="s">
        <v>219</v>
      </c>
      <c r="D42" s="10" t="s">
        <v>234</v>
      </c>
      <c r="E42" s="10" t="s">
        <v>53</v>
      </c>
      <c r="F42" s="10" t="s">
        <v>235</v>
      </c>
      <c r="G42" s="10" t="s">
        <v>236</v>
      </c>
      <c r="H42" s="10" t="s">
        <v>237</v>
      </c>
      <c r="I42" s="10" t="s">
        <v>58</v>
      </c>
      <c r="J42" s="12" t="n">
        <v>1</v>
      </c>
      <c r="K42" s="13" t="s">
        <v>68</v>
      </c>
      <c r="L42" s="13" t="s">
        <v>31</v>
      </c>
      <c r="M42" s="13"/>
      <c r="N42" s="13"/>
      <c r="O42" s="13"/>
      <c r="P42" s="14" t="s">
        <v>238</v>
      </c>
      <c r="Q42" s="10" t="s">
        <v>76</v>
      </c>
      <c r="R42" s="14" t="s">
        <v>61</v>
      </c>
    </row>
    <row r="43" customFormat="false" ht="42" hidden="false" customHeight="true" outlineLevel="0" collapsed="false">
      <c r="A43" s="16" t="n">
        <v>42</v>
      </c>
      <c r="B43" s="16" t="s">
        <v>239</v>
      </c>
      <c r="C43" s="16" t="s">
        <v>219</v>
      </c>
      <c r="D43" s="16" t="s">
        <v>240</v>
      </c>
      <c r="E43" s="16" t="s">
        <v>53</v>
      </c>
      <c r="F43" s="16" t="s">
        <v>241</v>
      </c>
      <c r="G43" s="16" t="s">
        <v>242</v>
      </c>
      <c r="H43" s="16" t="s">
        <v>243</v>
      </c>
      <c r="I43" s="16" t="s">
        <v>58</v>
      </c>
      <c r="J43" s="16" t="n">
        <v>2</v>
      </c>
      <c r="K43" s="17" t="s">
        <v>68</v>
      </c>
      <c r="L43" s="17" t="s">
        <v>31</v>
      </c>
      <c r="M43" s="17"/>
      <c r="N43" s="17"/>
      <c r="O43" s="17"/>
      <c r="P43" s="18" t="s">
        <v>244</v>
      </c>
      <c r="Q43" s="15" t="s">
        <v>60</v>
      </c>
      <c r="R43" s="18" t="s">
        <v>61</v>
      </c>
    </row>
    <row r="44" customFormat="false" ht="42" hidden="false" customHeight="true" outlineLevel="0" collapsed="false">
      <c r="A44" s="10" t="n">
        <v>43</v>
      </c>
      <c r="B44" s="10" t="s">
        <v>245</v>
      </c>
      <c r="C44" s="10" t="s">
        <v>219</v>
      </c>
      <c r="D44" s="10" t="s">
        <v>51</v>
      </c>
      <c r="E44" s="10" t="s">
        <v>53</v>
      </c>
      <c r="F44" s="10" t="s">
        <v>246</v>
      </c>
      <c r="G44" s="10" t="s">
        <v>247</v>
      </c>
      <c r="H44" s="10" t="s">
        <v>66</v>
      </c>
      <c r="I44" s="10" t="s">
        <v>248</v>
      </c>
      <c r="J44" s="10" t="n">
        <v>2</v>
      </c>
      <c r="K44" s="13" t="s">
        <v>68</v>
      </c>
      <c r="L44" s="13" t="s">
        <v>31</v>
      </c>
      <c r="M44" s="13"/>
      <c r="N44" s="13"/>
      <c r="O44" s="13"/>
      <c r="P44" s="14" t="s">
        <v>249</v>
      </c>
      <c r="Q44" s="10" t="s">
        <v>76</v>
      </c>
      <c r="R44" s="14" t="s">
        <v>61</v>
      </c>
    </row>
    <row r="45" customFormat="false" ht="42" hidden="false" customHeight="true" outlineLevel="0" collapsed="false">
      <c r="A45" s="16" t="n">
        <v>44</v>
      </c>
      <c r="B45" s="16" t="s">
        <v>250</v>
      </c>
      <c r="C45" s="16" t="s">
        <v>219</v>
      </c>
      <c r="D45" s="16" t="s">
        <v>230</v>
      </c>
      <c r="E45" s="16" t="s">
        <v>53</v>
      </c>
      <c r="F45" s="16" t="s">
        <v>251</v>
      </c>
      <c r="G45" s="16" t="s">
        <v>252</v>
      </c>
      <c r="H45" s="16" t="s">
        <v>253</v>
      </c>
      <c r="I45" s="16" t="s">
        <v>58</v>
      </c>
      <c r="J45" s="16" t="n">
        <v>2</v>
      </c>
      <c r="K45" s="17" t="s">
        <v>68</v>
      </c>
      <c r="L45" s="17" t="s">
        <v>31</v>
      </c>
      <c r="M45" s="17"/>
      <c r="N45" s="17"/>
      <c r="O45" s="17"/>
      <c r="P45" s="18" t="s">
        <v>254</v>
      </c>
      <c r="Q45" s="16" t="s">
        <v>76</v>
      </c>
      <c r="R45" s="18" t="s">
        <v>61</v>
      </c>
    </row>
    <row r="46" customFormat="false" ht="42" hidden="false" customHeight="true" outlineLevel="0" collapsed="false">
      <c r="A46" s="10" t="n">
        <v>45</v>
      </c>
      <c r="B46" s="10" t="s">
        <v>255</v>
      </c>
      <c r="C46" s="10" t="s">
        <v>219</v>
      </c>
      <c r="D46" s="10" t="s">
        <v>256</v>
      </c>
      <c r="E46" s="10" t="s">
        <v>53</v>
      </c>
      <c r="F46" s="10" t="s">
        <v>257</v>
      </c>
      <c r="G46" s="10" t="s">
        <v>258</v>
      </c>
      <c r="H46" s="10" t="s">
        <v>66</v>
      </c>
      <c r="I46" s="10" t="s">
        <v>58</v>
      </c>
      <c r="J46" s="10" t="n">
        <v>2</v>
      </c>
      <c r="K46" s="13" t="s">
        <v>68</v>
      </c>
      <c r="L46" s="13" t="s">
        <v>31</v>
      </c>
      <c r="M46" s="13"/>
      <c r="N46" s="13"/>
      <c r="O46" s="13"/>
      <c r="P46" s="14" t="s">
        <v>259</v>
      </c>
      <c r="Q46" s="15" t="s">
        <v>60</v>
      </c>
      <c r="R46" s="14" t="s">
        <v>61</v>
      </c>
    </row>
    <row r="47" customFormat="false" ht="42" hidden="false" customHeight="true" outlineLevel="0" collapsed="false">
      <c r="A47" s="16" t="n">
        <v>46</v>
      </c>
      <c r="B47" s="16" t="s">
        <v>260</v>
      </c>
      <c r="C47" s="16" t="s">
        <v>219</v>
      </c>
      <c r="D47" s="16" t="s">
        <v>234</v>
      </c>
      <c r="E47" s="16" t="s">
        <v>53</v>
      </c>
      <c r="F47" s="16" t="s">
        <v>251</v>
      </c>
      <c r="G47" s="16" t="s">
        <v>261</v>
      </c>
      <c r="H47" s="16" t="s">
        <v>253</v>
      </c>
      <c r="I47" s="16" t="s">
        <v>58</v>
      </c>
      <c r="J47" s="16" t="n">
        <v>2</v>
      </c>
      <c r="K47" s="17" t="s">
        <v>68</v>
      </c>
      <c r="L47" s="17" t="s">
        <v>31</v>
      </c>
      <c r="M47" s="17"/>
      <c r="N47" s="17"/>
      <c r="O47" s="17"/>
      <c r="P47" s="18" t="s">
        <v>262</v>
      </c>
      <c r="Q47" s="16" t="s">
        <v>76</v>
      </c>
      <c r="R47" s="18" t="s">
        <v>61</v>
      </c>
    </row>
    <row r="48" customFormat="false" ht="42" hidden="false" customHeight="true" outlineLevel="0" collapsed="false">
      <c r="A48" s="10" t="n">
        <v>47</v>
      </c>
      <c r="B48" s="10" t="s">
        <v>263</v>
      </c>
      <c r="C48" s="10" t="s">
        <v>219</v>
      </c>
      <c r="D48" s="10" t="s">
        <v>230</v>
      </c>
      <c r="E48" s="10" t="s">
        <v>53</v>
      </c>
      <c r="F48" s="10" t="s">
        <v>264</v>
      </c>
      <c r="G48" s="10" t="s">
        <v>265</v>
      </c>
      <c r="H48" s="10" t="s">
        <v>129</v>
      </c>
      <c r="I48" s="10" t="s">
        <v>58</v>
      </c>
      <c r="J48" s="10" t="n">
        <v>2</v>
      </c>
      <c r="K48" s="13" t="s">
        <v>68</v>
      </c>
      <c r="L48" s="13" t="s">
        <v>31</v>
      </c>
      <c r="M48" s="13"/>
      <c r="N48" s="13"/>
      <c r="O48" s="13"/>
      <c r="P48" s="14" t="s">
        <v>266</v>
      </c>
      <c r="Q48" s="10" t="s">
        <v>76</v>
      </c>
      <c r="R48" s="14" t="s">
        <v>61</v>
      </c>
    </row>
    <row r="49" customFormat="false" ht="42" hidden="false" customHeight="true" outlineLevel="0" collapsed="false">
      <c r="A49" s="16" t="n">
        <v>48</v>
      </c>
      <c r="B49" s="16" t="s">
        <v>267</v>
      </c>
      <c r="C49" s="16" t="s">
        <v>219</v>
      </c>
      <c r="D49" s="16" t="s">
        <v>234</v>
      </c>
      <c r="E49" s="16" t="s">
        <v>53</v>
      </c>
      <c r="F49" s="16" t="s">
        <v>221</v>
      </c>
      <c r="G49" s="16" t="s">
        <v>268</v>
      </c>
      <c r="H49" s="16" t="s">
        <v>269</v>
      </c>
      <c r="I49" s="16" t="s">
        <v>58</v>
      </c>
      <c r="J49" s="16" t="n">
        <v>2</v>
      </c>
      <c r="K49" s="17" t="s">
        <v>68</v>
      </c>
      <c r="L49" s="17" t="s">
        <v>31</v>
      </c>
      <c r="M49" s="17"/>
      <c r="N49" s="17"/>
      <c r="O49" s="17"/>
      <c r="P49" s="18" t="s">
        <v>270</v>
      </c>
      <c r="Q49" s="15" t="s">
        <v>60</v>
      </c>
      <c r="R49" s="18" t="s">
        <v>61</v>
      </c>
    </row>
    <row r="50" customFormat="false" ht="42" hidden="false" customHeight="true" outlineLevel="0" collapsed="false">
      <c r="A50" s="10" t="n">
        <v>49</v>
      </c>
      <c r="B50" s="10" t="s">
        <v>271</v>
      </c>
      <c r="C50" s="10" t="s">
        <v>219</v>
      </c>
      <c r="D50" s="10" t="s">
        <v>230</v>
      </c>
      <c r="E50" s="10" t="s">
        <v>53</v>
      </c>
      <c r="F50" s="10" t="s">
        <v>241</v>
      </c>
      <c r="G50" s="10" t="s">
        <v>272</v>
      </c>
      <c r="H50" s="10" t="s">
        <v>273</v>
      </c>
      <c r="I50" s="10" t="s">
        <v>58</v>
      </c>
      <c r="J50" s="10" t="n">
        <v>2</v>
      </c>
      <c r="K50" s="13" t="s">
        <v>68</v>
      </c>
      <c r="L50" s="13" t="s">
        <v>31</v>
      </c>
      <c r="M50" s="13"/>
      <c r="N50" s="13"/>
      <c r="O50" s="13"/>
      <c r="P50" s="14" t="s">
        <v>274</v>
      </c>
      <c r="Q50" s="15" t="s">
        <v>60</v>
      </c>
      <c r="R50" s="14" t="s">
        <v>61</v>
      </c>
    </row>
    <row r="51" customFormat="false" ht="42" hidden="false" customHeight="true" outlineLevel="0" collapsed="false">
      <c r="A51" s="16" t="n">
        <v>50</v>
      </c>
      <c r="B51" s="16" t="s">
        <v>275</v>
      </c>
      <c r="C51" s="16" t="s">
        <v>219</v>
      </c>
      <c r="D51" s="16" t="s">
        <v>230</v>
      </c>
      <c r="E51" s="16" t="s">
        <v>53</v>
      </c>
      <c r="F51" s="16" t="s">
        <v>241</v>
      </c>
      <c r="G51" s="16"/>
      <c r="H51" s="16" t="s">
        <v>276</v>
      </c>
      <c r="I51" s="16" t="s">
        <v>58</v>
      </c>
      <c r="J51" s="16" t="n">
        <v>2</v>
      </c>
      <c r="K51" s="17" t="s">
        <v>68</v>
      </c>
      <c r="L51" s="17" t="s">
        <v>31</v>
      </c>
      <c r="M51" s="17"/>
      <c r="N51" s="17"/>
      <c r="O51" s="17"/>
      <c r="P51" s="18" t="s">
        <v>277</v>
      </c>
      <c r="Q51" s="16" t="s">
        <v>76</v>
      </c>
      <c r="R51" s="18" t="s">
        <v>61</v>
      </c>
    </row>
    <row r="52" customFormat="false" ht="42" hidden="false" customHeight="true" outlineLevel="0" collapsed="false">
      <c r="A52" s="10" t="n">
        <v>51</v>
      </c>
      <c r="B52" s="10" t="s">
        <v>278</v>
      </c>
      <c r="C52" s="10" t="s">
        <v>219</v>
      </c>
      <c r="D52" s="10" t="s">
        <v>230</v>
      </c>
      <c r="E52" s="10" t="s">
        <v>279</v>
      </c>
      <c r="F52" s="10" t="s">
        <v>280</v>
      </c>
      <c r="G52" s="10" t="s">
        <v>281</v>
      </c>
      <c r="H52" s="10" t="s">
        <v>282</v>
      </c>
      <c r="I52" s="10" t="s">
        <v>58</v>
      </c>
      <c r="J52" s="10" t="n">
        <v>2</v>
      </c>
      <c r="K52" s="13" t="s">
        <v>68</v>
      </c>
      <c r="L52" s="13" t="s">
        <v>31</v>
      </c>
      <c r="M52" s="13"/>
      <c r="N52" s="13"/>
      <c r="O52" s="13"/>
      <c r="P52" s="14" t="s">
        <v>283</v>
      </c>
      <c r="Q52" s="10" t="s">
        <v>76</v>
      </c>
      <c r="R52" s="14" t="s">
        <v>61</v>
      </c>
    </row>
    <row r="53" customFormat="false" ht="42" hidden="false" customHeight="true" outlineLevel="0" collapsed="false">
      <c r="A53" s="16" t="n">
        <v>52</v>
      </c>
      <c r="B53" s="16" t="s">
        <v>284</v>
      </c>
      <c r="C53" s="16" t="s">
        <v>219</v>
      </c>
      <c r="D53" s="16" t="s">
        <v>230</v>
      </c>
      <c r="E53" s="16" t="s">
        <v>53</v>
      </c>
      <c r="F53" s="16" t="s">
        <v>241</v>
      </c>
      <c r="G53" s="16" t="s">
        <v>285</v>
      </c>
      <c r="H53" s="16" t="s">
        <v>206</v>
      </c>
      <c r="I53" s="16" t="s">
        <v>58</v>
      </c>
      <c r="J53" s="16" t="n">
        <v>2</v>
      </c>
      <c r="K53" s="17" t="s">
        <v>68</v>
      </c>
      <c r="L53" s="17" t="s">
        <v>31</v>
      </c>
      <c r="M53" s="17"/>
      <c r="N53" s="17"/>
      <c r="O53" s="17"/>
      <c r="P53" s="18" t="s">
        <v>286</v>
      </c>
      <c r="Q53" s="16" t="s">
        <v>76</v>
      </c>
      <c r="R53" s="18" t="s">
        <v>61</v>
      </c>
    </row>
    <row r="54" customFormat="false" ht="42" hidden="false" customHeight="true" outlineLevel="0" collapsed="false">
      <c r="A54" s="10" t="n">
        <v>53</v>
      </c>
      <c r="B54" s="10" t="s">
        <v>287</v>
      </c>
      <c r="C54" s="10" t="s">
        <v>219</v>
      </c>
      <c r="D54" s="10" t="s">
        <v>288</v>
      </c>
      <c r="E54" s="10" t="s">
        <v>53</v>
      </c>
      <c r="F54" s="10" t="s">
        <v>221</v>
      </c>
      <c r="G54" s="10" t="s">
        <v>289</v>
      </c>
      <c r="H54" s="10" t="s">
        <v>56</v>
      </c>
      <c r="I54" s="10" t="s">
        <v>58</v>
      </c>
      <c r="J54" s="10" t="n">
        <v>3</v>
      </c>
      <c r="K54" s="13" t="s">
        <v>68</v>
      </c>
      <c r="L54" s="13" t="s">
        <v>31</v>
      </c>
      <c r="M54" s="13"/>
      <c r="N54" s="13"/>
      <c r="O54" s="13"/>
      <c r="P54" s="14" t="s">
        <v>290</v>
      </c>
      <c r="Q54" s="10" t="s">
        <v>76</v>
      </c>
      <c r="R54" s="14" t="s">
        <v>61</v>
      </c>
    </row>
    <row r="55" customFormat="false" ht="42" hidden="false" customHeight="true" outlineLevel="0" collapsed="false">
      <c r="A55" s="16" t="n">
        <v>54</v>
      </c>
      <c r="B55" s="16" t="s">
        <v>291</v>
      </c>
      <c r="C55" s="16" t="s">
        <v>219</v>
      </c>
      <c r="D55" s="16" t="s">
        <v>234</v>
      </c>
      <c r="E55" s="16" t="s">
        <v>53</v>
      </c>
      <c r="F55" s="16" t="s">
        <v>251</v>
      </c>
      <c r="G55" s="16" t="s">
        <v>292</v>
      </c>
      <c r="H55" s="16" t="s">
        <v>269</v>
      </c>
      <c r="I55" s="16" t="s">
        <v>58</v>
      </c>
      <c r="J55" s="16" t="n">
        <v>3</v>
      </c>
      <c r="K55" s="17" t="s">
        <v>58</v>
      </c>
      <c r="L55" s="17" t="s">
        <v>31</v>
      </c>
      <c r="M55" s="17"/>
      <c r="N55" s="17"/>
      <c r="O55" s="17"/>
      <c r="P55" s="18" t="s">
        <v>293</v>
      </c>
      <c r="Q55" s="16" t="s">
        <v>76</v>
      </c>
      <c r="R55" s="18" t="s">
        <v>61</v>
      </c>
    </row>
    <row r="56" customFormat="false" ht="42" hidden="false" customHeight="true" outlineLevel="0" collapsed="false">
      <c r="A56" s="10" t="n">
        <v>55</v>
      </c>
      <c r="B56" s="10" t="s">
        <v>294</v>
      </c>
      <c r="C56" s="10" t="s">
        <v>219</v>
      </c>
      <c r="D56" s="10" t="s">
        <v>230</v>
      </c>
      <c r="E56" s="10" t="s">
        <v>53</v>
      </c>
      <c r="F56" s="10" t="s">
        <v>295</v>
      </c>
      <c r="G56" s="10"/>
      <c r="H56" s="10" t="s">
        <v>276</v>
      </c>
      <c r="I56" s="10" t="s">
        <v>58</v>
      </c>
      <c r="J56" s="10" t="n">
        <v>3</v>
      </c>
      <c r="K56" s="13" t="s">
        <v>58</v>
      </c>
      <c r="L56" s="13" t="s">
        <v>31</v>
      </c>
      <c r="M56" s="13"/>
      <c r="N56" s="13"/>
      <c r="O56" s="13"/>
      <c r="P56" s="14" t="s">
        <v>296</v>
      </c>
      <c r="Q56" s="15" t="s">
        <v>60</v>
      </c>
      <c r="R56" s="14" t="s">
        <v>61</v>
      </c>
    </row>
    <row r="57" customFormat="false" ht="42" hidden="false" customHeight="true" outlineLevel="0" collapsed="false">
      <c r="A57" s="16" t="n">
        <v>56</v>
      </c>
      <c r="B57" s="16" t="s">
        <v>297</v>
      </c>
      <c r="C57" s="16" t="s">
        <v>219</v>
      </c>
      <c r="D57" s="16" t="s">
        <v>298</v>
      </c>
      <c r="E57" s="16" t="s">
        <v>53</v>
      </c>
      <c r="F57" s="16" t="s">
        <v>299</v>
      </c>
      <c r="G57" s="16" t="s">
        <v>300</v>
      </c>
      <c r="H57" s="16" t="s">
        <v>66</v>
      </c>
      <c r="I57" s="16" t="s">
        <v>67</v>
      </c>
      <c r="J57" s="16" t="n">
        <v>3</v>
      </c>
      <c r="K57" s="17" t="s">
        <v>58</v>
      </c>
      <c r="L57" s="17" t="s">
        <v>31</v>
      </c>
      <c r="M57" s="17"/>
      <c r="N57" s="17"/>
      <c r="O57" s="17"/>
      <c r="P57" s="18" t="s">
        <v>69</v>
      </c>
      <c r="Q57" s="15" t="s">
        <v>60</v>
      </c>
      <c r="R57" s="18" t="s">
        <v>61</v>
      </c>
    </row>
    <row r="58" customFormat="false" ht="42" hidden="false" customHeight="true" outlineLevel="0" collapsed="false">
      <c r="A58" s="10" t="n">
        <v>57</v>
      </c>
      <c r="B58" s="10" t="s">
        <v>301</v>
      </c>
      <c r="C58" s="10" t="s">
        <v>219</v>
      </c>
      <c r="D58" s="10" t="s">
        <v>302</v>
      </c>
      <c r="E58" s="10" t="s">
        <v>53</v>
      </c>
      <c r="F58" s="10" t="s">
        <v>303</v>
      </c>
      <c r="G58" s="10" t="s">
        <v>304</v>
      </c>
      <c r="H58" s="10" t="s">
        <v>87</v>
      </c>
      <c r="I58" s="10" t="s">
        <v>58</v>
      </c>
      <c r="J58" s="10" t="n">
        <v>3</v>
      </c>
      <c r="K58" s="13" t="s">
        <v>58</v>
      </c>
      <c r="L58" s="13" t="s">
        <v>31</v>
      </c>
      <c r="M58" s="13"/>
      <c r="N58" s="13"/>
      <c r="O58" s="13"/>
      <c r="P58" s="14" t="s">
        <v>305</v>
      </c>
      <c r="Q58" s="15" t="s">
        <v>60</v>
      </c>
      <c r="R58" s="14" t="s">
        <v>61</v>
      </c>
    </row>
    <row r="59" customFormat="false" ht="42" hidden="false" customHeight="true" outlineLevel="0" collapsed="false">
      <c r="A59" s="16" t="n">
        <v>58</v>
      </c>
      <c r="B59" s="16" t="s">
        <v>306</v>
      </c>
      <c r="C59" s="16" t="s">
        <v>219</v>
      </c>
      <c r="D59" s="16" t="s">
        <v>230</v>
      </c>
      <c r="E59" s="16" t="s">
        <v>53</v>
      </c>
      <c r="F59" s="16" t="s">
        <v>251</v>
      </c>
      <c r="G59" s="16" t="s">
        <v>307</v>
      </c>
      <c r="H59" s="16" t="s">
        <v>66</v>
      </c>
      <c r="I59" s="16" t="s">
        <v>58</v>
      </c>
      <c r="J59" s="16" t="n">
        <v>3</v>
      </c>
      <c r="K59" s="17" t="s">
        <v>58</v>
      </c>
      <c r="L59" s="17" t="s">
        <v>31</v>
      </c>
      <c r="M59" s="17"/>
      <c r="N59" s="17"/>
      <c r="O59" s="17"/>
      <c r="P59" s="18" t="s">
        <v>308</v>
      </c>
      <c r="Q59" s="16" t="s">
        <v>76</v>
      </c>
      <c r="R59" s="18" t="s">
        <v>61</v>
      </c>
    </row>
    <row r="60" customFormat="false" ht="42" hidden="false" customHeight="true" outlineLevel="0" collapsed="false">
      <c r="A60" s="10" t="n">
        <v>59</v>
      </c>
      <c r="B60" s="10" t="s">
        <v>309</v>
      </c>
      <c r="C60" s="10" t="s">
        <v>219</v>
      </c>
      <c r="D60" s="10" t="s">
        <v>230</v>
      </c>
      <c r="E60" s="10" t="s">
        <v>310</v>
      </c>
      <c r="F60" s="10" t="s">
        <v>251</v>
      </c>
      <c r="G60" s="10" t="s">
        <v>311</v>
      </c>
      <c r="H60" s="10" t="s">
        <v>312</v>
      </c>
      <c r="I60" s="10" t="s">
        <v>58</v>
      </c>
      <c r="J60" s="10" t="n">
        <v>3</v>
      </c>
      <c r="K60" s="13" t="s">
        <v>58</v>
      </c>
      <c r="L60" s="13" t="s">
        <v>31</v>
      </c>
      <c r="M60" s="13"/>
      <c r="N60" s="13"/>
      <c r="O60" s="13"/>
      <c r="P60" s="14" t="s">
        <v>313</v>
      </c>
      <c r="Q60" s="15" t="s">
        <v>60</v>
      </c>
      <c r="R60" s="14" t="s">
        <v>61</v>
      </c>
    </row>
    <row r="61" customFormat="false" ht="42" hidden="false" customHeight="true" outlineLevel="0" collapsed="false">
      <c r="A61" s="16" t="n">
        <v>60</v>
      </c>
      <c r="B61" s="16" t="s">
        <v>314</v>
      </c>
      <c r="C61" s="16" t="s">
        <v>219</v>
      </c>
      <c r="D61" s="16" t="s">
        <v>230</v>
      </c>
      <c r="E61" s="16" t="s">
        <v>53</v>
      </c>
      <c r="F61" s="16" t="s">
        <v>251</v>
      </c>
      <c r="G61" s="16"/>
      <c r="H61" s="16" t="s">
        <v>159</v>
      </c>
      <c r="I61" s="16" t="s">
        <v>58</v>
      </c>
      <c r="J61" s="16" t="n">
        <v>3</v>
      </c>
      <c r="K61" s="17" t="s">
        <v>68</v>
      </c>
      <c r="L61" s="17" t="s">
        <v>31</v>
      </c>
      <c r="M61" s="17"/>
      <c r="N61" s="17"/>
      <c r="O61" s="17"/>
      <c r="P61" s="18" t="s">
        <v>315</v>
      </c>
      <c r="Q61" s="15" t="s">
        <v>60</v>
      </c>
      <c r="R61" s="18" t="s">
        <v>61</v>
      </c>
    </row>
    <row r="62" customFormat="false" ht="42" hidden="false" customHeight="true" outlineLevel="0" collapsed="false">
      <c r="A62" s="10" t="n">
        <v>61</v>
      </c>
      <c r="B62" s="10" t="s">
        <v>316</v>
      </c>
      <c r="C62" s="10" t="s">
        <v>219</v>
      </c>
      <c r="D62" s="10" t="s">
        <v>230</v>
      </c>
      <c r="E62" s="10" t="s">
        <v>317</v>
      </c>
      <c r="F62" s="10" t="s">
        <v>241</v>
      </c>
      <c r="G62" s="10"/>
      <c r="H62" s="10" t="s">
        <v>276</v>
      </c>
      <c r="I62" s="10" t="s">
        <v>58</v>
      </c>
      <c r="J62" s="10" t="n">
        <v>3</v>
      </c>
      <c r="K62" s="13" t="s">
        <v>68</v>
      </c>
      <c r="L62" s="13" t="s">
        <v>31</v>
      </c>
      <c r="M62" s="13"/>
      <c r="N62" s="13"/>
      <c r="O62" s="13"/>
      <c r="P62" s="14" t="s">
        <v>318</v>
      </c>
      <c r="Q62" s="10" t="s">
        <v>76</v>
      </c>
      <c r="R62" s="14" t="s">
        <v>61</v>
      </c>
    </row>
    <row r="63" customFormat="false" ht="42" hidden="false" customHeight="true" outlineLevel="0" collapsed="false">
      <c r="A63" s="16" t="n">
        <v>62</v>
      </c>
      <c r="B63" s="16" t="s">
        <v>319</v>
      </c>
      <c r="C63" s="16" t="s">
        <v>219</v>
      </c>
      <c r="D63" s="16" t="s">
        <v>234</v>
      </c>
      <c r="E63" s="16" t="s">
        <v>53</v>
      </c>
      <c r="F63" s="16" t="s">
        <v>251</v>
      </c>
      <c r="G63" s="16" t="s">
        <v>320</v>
      </c>
      <c r="H63" s="16" t="s">
        <v>269</v>
      </c>
      <c r="I63" s="16" t="s">
        <v>58</v>
      </c>
      <c r="J63" s="16" t="n">
        <v>3</v>
      </c>
      <c r="K63" s="17" t="s">
        <v>58</v>
      </c>
      <c r="L63" s="17" t="s">
        <v>31</v>
      </c>
      <c r="M63" s="17"/>
      <c r="N63" s="17"/>
      <c r="O63" s="17"/>
      <c r="P63" s="18" t="s">
        <v>321</v>
      </c>
      <c r="Q63" s="16" t="s">
        <v>76</v>
      </c>
      <c r="R63" s="18" t="s">
        <v>61</v>
      </c>
    </row>
    <row r="64" customFormat="false" ht="42" hidden="false" customHeight="true" outlineLevel="0" collapsed="false">
      <c r="A64" s="10" t="n">
        <v>63</v>
      </c>
      <c r="B64" s="10" t="s">
        <v>322</v>
      </c>
      <c r="C64" s="10" t="s">
        <v>219</v>
      </c>
      <c r="D64" s="10" t="s">
        <v>230</v>
      </c>
      <c r="E64" s="10" t="s">
        <v>53</v>
      </c>
      <c r="F64" s="10" t="s">
        <v>323</v>
      </c>
      <c r="G64" s="10" t="s">
        <v>324</v>
      </c>
      <c r="H64" s="10" t="s">
        <v>276</v>
      </c>
      <c r="I64" s="10" t="s">
        <v>58</v>
      </c>
      <c r="J64" s="10" t="n">
        <v>3</v>
      </c>
      <c r="K64" s="13" t="s">
        <v>58</v>
      </c>
      <c r="L64" s="13" t="s">
        <v>31</v>
      </c>
      <c r="M64" s="13"/>
      <c r="N64" s="13"/>
      <c r="O64" s="13"/>
      <c r="P64" s="14" t="s">
        <v>325</v>
      </c>
      <c r="Q64" s="15" t="s">
        <v>60</v>
      </c>
      <c r="R64" s="14" t="s">
        <v>61</v>
      </c>
    </row>
    <row r="65" customFormat="false" ht="42" hidden="false" customHeight="true" outlineLevel="0" collapsed="false">
      <c r="A65" s="16" t="n">
        <v>64</v>
      </c>
      <c r="B65" s="16" t="s">
        <v>326</v>
      </c>
      <c r="C65" s="16" t="s">
        <v>219</v>
      </c>
      <c r="D65" s="16" t="s">
        <v>327</v>
      </c>
      <c r="E65" s="16" t="s">
        <v>53</v>
      </c>
      <c r="F65" s="16" t="s">
        <v>251</v>
      </c>
      <c r="G65" s="16" t="s">
        <v>328</v>
      </c>
      <c r="H65" s="16" t="s">
        <v>129</v>
      </c>
      <c r="I65" s="16" t="s">
        <v>58</v>
      </c>
      <c r="J65" s="16" t="n">
        <v>3</v>
      </c>
      <c r="K65" s="17" t="s">
        <v>68</v>
      </c>
      <c r="L65" s="17" t="s">
        <v>31</v>
      </c>
      <c r="M65" s="17"/>
      <c r="N65" s="17"/>
      <c r="O65" s="17"/>
      <c r="P65" s="18" t="s">
        <v>329</v>
      </c>
      <c r="Q65" s="15" t="s">
        <v>60</v>
      </c>
      <c r="R65" s="18" t="s">
        <v>61</v>
      </c>
    </row>
    <row r="66" customFormat="false" ht="42" hidden="false" customHeight="true" outlineLevel="0" collapsed="false">
      <c r="A66" s="10" t="n">
        <v>65</v>
      </c>
      <c r="B66" s="10" t="s">
        <v>330</v>
      </c>
      <c r="C66" s="10" t="s">
        <v>219</v>
      </c>
      <c r="D66" s="10" t="s">
        <v>230</v>
      </c>
      <c r="E66" s="10" t="s">
        <v>53</v>
      </c>
      <c r="F66" s="10" t="s">
        <v>251</v>
      </c>
      <c r="G66" s="10" t="s">
        <v>331</v>
      </c>
      <c r="H66" s="10" t="s">
        <v>273</v>
      </c>
      <c r="I66" s="10" t="s">
        <v>58</v>
      </c>
      <c r="J66" s="10" t="n">
        <v>3</v>
      </c>
      <c r="K66" s="13" t="s">
        <v>68</v>
      </c>
      <c r="L66" s="13" t="s">
        <v>31</v>
      </c>
      <c r="M66" s="13"/>
      <c r="N66" s="13"/>
      <c r="O66" s="13"/>
      <c r="P66" s="14" t="s">
        <v>332</v>
      </c>
      <c r="Q66" s="15" t="s">
        <v>60</v>
      </c>
      <c r="R66" s="14" t="s">
        <v>61</v>
      </c>
    </row>
    <row r="67" customFormat="false" ht="42" hidden="false" customHeight="true" outlineLevel="0" collapsed="false">
      <c r="A67" s="16" t="n">
        <v>66</v>
      </c>
      <c r="B67" s="19" t="s">
        <v>333</v>
      </c>
      <c r="C67" s="16" t="s">
        <v>334</v>
      </c>
      <c r="D67" s="16" t="s">
        <v>335</v>
      </c>
      <c r="E67" s="16" t="s">
        <v>336</v>
      </c>
      <c r="F67" s="16" t="s">
        <v>337</v>
      </c>
      <c r="G67" s="16" t="s">
        <v>338</v>
      </c>
      <c r="H67" s="16" t="s">
        <v>339</v>
      </c>
      <c r="I67" s="16" t="s">
        <v>340</v>
      </c>
      <c r="J67" s="12" t="n">
        <v>1</v>
      </c>
      <c r="K67" s="17" t="s">
        <v>68</v>
      </c>
      <c r="L67" s="17" t="s">
        <v>31</v>
      </c>
      <c r="M67" s="17"/>
      <c r="N67" s="17"/>
      <c r="O67" s="17"/>
      <c r="P67" s="18" t="s">
        <v>341</v>
      </c>
      <c r="Q67" s="16" t="s">
        <v>76</v>
      </c>
      <c r="R67" s="18" t="s">
        <v>61</v>
      </c>
    </row>
    <row r="68" customFormat="false" ht="42" hidden="false" customHeight="true" outlineLevel="0" collapsed="false">
      <c r="A68" s="10" t="n">
        <v>67</v>
      </c>
      <c r="B68" s="11" t="s">
        <v>342</v>
      </c>
      <c r="C68" s="10" t="s">
        <v>334</v>
      </c>
      <c r="D68" s="10" t="s">
        <v>343</v>
      </c>
      <c r="E68" s="10" t="s">
        <v>336</v>
      </c>
      <c r="F68" s="10" t="s">
        <v>344</v>
      </c>
      <c r="G68" s="10" t="s">
        <v>345</v>
      </c>
      <c r="H68" s="10" t="s">
        <v>134</v>
      </c>
      <c r="I68" s="10" t="s">
        <v>68</v>
      </c>
      <c r="J68" s="12" t="n">
        <v>1</v>
      </c>
      <c r="K68" s="13" t="s">
        <v>68</v>
      </c>
      <c r="L68" s="13" t="s">
        <v>31</v>
      </c>
      <c r="M68" s="13"/>
      <c r="N68" s="13"/>
      <c r="O68" s="13"/>
      <c r="P68" s="14" t="s">
        <v>346</v>
      </c>
      <c r="Q68" s="10" t="s">
        <v>76</v>
      </c>
      <c r="R68" s="14" t="s">
        <v>61</v>
      </c>
    </row>
    <row r="69" customFormat="false" ht="42" hidden="false" customHeight="true" outlineLevel="0" collapsed="false">
      <c r="A69" s="16" t="n">
        <v>68</v>
      </c>
      <c r="B69" s="19" t="s">
        <v>347</v>
      </c>
      <c r="C69" s="16" t="s">
        <v>334</v>
      </c>
      <c r="D69" s="16" t="s">
        <v>348</v>
      </c>
      <c r="E69" s="16" t="s">
        <v>53</v>
      </c>
      <c r="F69" s="16" t="s">
        <v>349</v>
      </c>
      <c r="G69" s="16" t="s">
        <v>350</v>
      </c>
      <c r="H69" s="16" t="s">
        <v>243</v>
      </c>
      <c r="I69" s="16" t="s">
        <v>68</v>
      </c>
      <c r="J69" s="12" t="n">
        <v>1</v>
      </c>
      <c r="K69" s="17" t="s">
        <v>68</v>
      </c>
      <c r="L69" s="17" t="s">
        <v>31</v>
      </c>
      <c r="M69" s="17"/>
      <c r="N69" s="17"/>
      <c r="O69" s="17"/>
      <c r="P69" s="18" t="s">
        <v>351</v>
      </c>
      <c r="Q69" s="15" t="s">
        <v>60</v>
      </c>
      <c r="R69" s="18" t="s">
        <v>61</v>
      </c>
    </row>
    <row r="70" customFormat="false" ht="42" hidden="false" customHeight="true" outlineLevel="0" collapsed="false">
      <c r="A70" s="10" t="n">
        <v>69</v>
      </c>
      <c r="B70" s="11" t="s">
        <v>352</v>
      </c>
      <c r="C70" s="10" t="s">
        <v>334</v>
      </c>
      <c r="D70" s="10" t="s">
        <v>348</v>
      </c>
      <c r="E70" s="10" t="s">
        <v>53</v>
      </c>
      <c r="F70" s="10" t="s">
        <v>353</v>
      </c>
      <c r="G70" s="10" t="s">
        <v>354</v>
      </c>
      <c r="H70" s="10" t="s">
        <v>273</v>
      </c>
      <c r="I70" s="10" t="s">
        <v>68</v>
      </c>
      <c r="J70" s="12" t="n">
        <v>1</v>
      </c>
      <c r="K70" s="13" t="s">
        <v>68</v>
      </c>
      <c r="L70" s="13" t="s">
        <v>31</v>
      </c>
      <c r="M70" s="13"/>
      <c r="N70" s="13"/>
      <c r="O70" s="13"/>
      <c r="P70" s="14" t="s">
        <v>355</v>
      </c>
      <c r="Q70" s="10" t="s">
        <v>76</v>
      </c>
      <c r="R70" s="14" t="s">
        <v>61</v>
      </c>
    </row>
    <row r="71" customFormat="false" ht="42" hidden="false" customHeight="true" outlineLevel="0" collapsed="false">
      <c r="A71" s="16" t="n">
        <v>70</v>
      </c>
      <c r="B71" s="19" t="s">
        <v>356</v>
      </c>
      <c r="C71" s="16" t="s">
        <v>334</v>
      </c>
      <c r="D71" s="16" t="s">
        <v>357</v>
      </c>
      <c r="E71" s="16" t="s">
        <v>53</v>
      </c>
      <c r="F71" s="16" t="s">
        <v>358</v>
      </c>
      <c r="G71" s="16" t="s">
        <v>359</v>
      </c>
      <c r="H71" s="16" t="s">
        <v>273</v>
      </c>
      <c r="I71" s="16" t="s">
        <v>68</v>
      </c>
      <c r="J71" s="12" t="n">
        <v>1</v>
      </c>
      <c r="K71" s="17" t="s">
        <v>68</v>
      </c>
      <c r="L71" s="17" t="s">
        <v>31</v>
      </c>
      <c r="M71" s="17"/>
      <c r="N71" s="17"/>
      <c r="O71" s="17"/>
      <c r="P71" s="18" t="s">
        <v>360</v>
      </c>
      <c r="Q71" s="15" t="s">
        <v>60</v>
      </c>
      <c r="R71" s="18" t="s">
        <v>61</v>
      </c>
    </row>
    <row r="72" customFormat="false" ht="42" hidden="false" customHeight="true" outlineLevel="0" collapsed="false">
      <c r="A72" s="10" t="n">
        <v>71</v>
      </c>
      <c r="B72" s="11" t="s">
        <v>361</v>
      </c>
      <c r="C72" s="10" t="s">
        <v>334</v>
      </c>
      <c r="D72" s="10" t="s">
        <v>362</v>
      </c>
      <c r="E72" s="10" t="s">
        <v>363</v>
      </c>
      <c r="F72" s="10" t="s">
        <v>364</v>
      </c>
      <c r="G72" s="10" t="s">
        <v>365</v>
      </c>
      <c r="H72" s="10" t="s">
        <v>273</v>
      </c>
      <c r="I72" s="10" t="s">
        <v>366</v>
      </c>
      <c r="J72" s="12" t="n">
        <v>1</v>
      </c>
      <c r="K72" s="13" t="s">
        <v>68</v>
      </c>
      <c r="L72" s="13" t="s">
        <v>31</v>
      </c>
      <c r="M72" s="13"/>
      <c r="N72" s="13"/>
      <c r="O72" s="13"/>
      <c r="P72" s="14" t="s">
        <v>367</v>
      </c>
      <c r="Q72" s="15" t="s">
        <v>60</v>
      </c>
      <c r="R72" s="14" t="s">
        <v>61</v>
      </c>
    </row>
    <row r="73" customFormat="false" ht="42" hidden="false" customHeight="true" outlineLevel="0" collapsed="false">
      <c r="A73" s="16" t="n">
        <v>72</v>
      </c>
      <c r="B73" s="19" t="s">
        <v>368</v>
      </c>
      <c r="C73" s="16" t="s">
        <v>334</v>
      </c>
      <c r="D73" s="16" t="s">
        <v>369</v>
      </c>
      <c r="E73" s="16" t="s">
        <v>370</v>
      </c>
      <c r="F73" s="16" t="s">
        <v>371</v>
      </c>
      <c r="G73" s="16" t="s">
        <v>372</v>
      </c>
      <c r="H73" s="16" t="s">
        <v>373</v>
      </c>
      <c r="I73" s="16" t="s">
        <v>68</v>
      </c>
      <c r="J73" s="12" t="n">
        <v>1</v>
      </c>
      <c r="K73" s="17" t="s">
        <v>68</v>
      </c>
      <c r="L73" s="17" t="s">
        <v>31</v>
      </c>
      <c r="M73" s="17"/>
      <c r="N73" s="17"/>
      <c r="O73" s="17"/>
      <c r="P73" s="18" t="s">
        <v>374</v>
      </c>
      <c r="Q73" s="16" t="s">
        <v>76</v>
      </c>
      <c r="R73" s="18" t="s">
        <v>61</v>
      </c>
    </row>
    <row r="74" customFormat="false" ht="42" hidden="false" customHeight="true" outlineLevel="0" collapsed="false">
      <c r="A74" s="10" t="n">
        <v>73</v>
      </c>
      <c r="B74" s="11" t="s">
        <v>375</v>
      </c>
      <c r="C74" s="10" t="s">
        <v>334</v>
      </c>
      <c r="D74" s="10" t="s">
        <v>376</v>
      </c>
      <c r="E74" s="10" t="s">
        <v>53</v>
      </c>
      <c r="F74" s="10" t="s">
        <v>377</v>
      </c>
      <c r="G74" s="10" t="s">
        <v>378</v>
      </c>
      <c r="H74" s="10" t="s">
        <v>273</v>
      </c>
      <c r="I74" s="10" t="s">
        <v>68</v>
      </c>
      <c r="J74" s="12" t="n">
        <v>1</v>
      </c>
      <c r="K74" s="13" t="s">
        <v>68</v>
      </c>
      <c r="L74" s="13" t="s">
        <v>31</v>
      </c>
      <c r="M74" s="13"/>
      <c r="N74" s="13"/>
      <c r="O74" s="13"/>
      <c r="P74" s="14" t="s">
        <v>379</v>
      </c>
      <c r="Q74" s="10" t="s">
        <v>76</v>
      </c>
      <c r="R74" s="14" t="s">
        <v>61</v>
      </c>
    </row>
    <row r="75" customFormat="false" ht="42" hidden="false" customHeight="true" outlineLevel="0" collapsed="false">
      <c r="A75" s="16" t="n">
        <v>74</v>
      </c>
      <c r="B75" s="19" t="s">
        <v>380</v>
      </c>
      <c r="C75" s="16" t="s">
        <v>334</v>
      </c>
      <c r="D75" s="16" t="s">
        <v>376</v>
      </c>
      <c r="E75" s="16" t="s">
        <v>53</v>
      </c>
      <c r="F75" s="16" t="s">
        <v>377</v>
      </c>
      <c r="G75" s="16" t="s">
        <v>381</v>
      </c>
      <c r="H75" s="16" t="s">
        <v>273</v>
      </c>
      <c r="I75" s="16" t="s">
        <v>68</v>
      </c>
      <c r="J75" s="12" t="n">
        <v>1</v>
      </c>
      <c r="K75" s="17" t="s">
        <v>68</v>
      </c>
      <c r="L75" s="17" t="s">
        <v>31</v>
      </c>
      <c r="M75" s="17"/>
      <c r="N75" s="17"/>
      <c r="O75" s="17"/>
      <c r="P75" s="18" t="s">
        <v>382</v>
      </c>
      <c r="Q75" s="16" t="s">
        <v>76</v>
      </c>
      <c r="R75" s="18" t="s">
        <v>61</v>
      </c>
    </row>
    <row r="76" customFormat="false" ht="42" hidden="false" customHeight="true" outlineLevel="0" collapsed="false">
      <c r="A76" s="10" t="n">
        <v>75</v>
      </c>
      <c r="B76" s="11" t="s">
        <v>383</v>
      </c>
      <c r="C76" s="10" t="s">
        <v>334</v>
      </c>
      <c r="D76" s="10" t="s">
        <v>376</v>
      </c>
      <c r="E76" s="10" t="s">
        <v>53</v>
      </c>
      <c r="F76" s="10" t="s">
        <v>377</v>
      </c>
      <c r="G76" s="10" t="s">
        <v>384</v>
      </c>
      <c r="H76" s="10" t="s">
        <v>273</v>
      </c>
      <c r="I76" s="10" t="s">
        <v>68</v>
      </c>
      <c r="J76" s="12" t="n">
        <v>1</v>
      </c>
      <c r="K76" s="13" t="s">
        <v>68</v>
      </c>
      <c r="L76" s="13" t="s">
        <v>31</v>
      </c>
      <c r="M76" s="13"/>
      <c r="N76" s="13"/>
      <c r="O76" s="13"/>
      <c r="P76" s="14" t="s">
        <v>385</v>
      </c>
      <c r="Q76" s="10" t="s">
        <v>76</v>
      </c>
      <c r="R76" s="14" t="s">
        <v>61</v>
      </c>
    </row>
    <row r="77" customFormat="false" ht="42" hidden="false" customHeight="true" outlineLevel="0" collapsed="false">
      <c r="A77" s="16" t="n">
        <v>76</v>
      </c>
      <c r="B77" s="19" t="s">
        <v>386</v>
      </c>
      <c r="C77" s="16" t="s">
        <v>334</v>
      </c>
      <c r="D77" s="16" t="s">
        <v>376</v>
      </c>
      <c r="E77" s="16" t="s">
        <v>53</v>
      </c>
      <c r="F77" s="16" t="s">
        <v>377</v>
      </c>
      <c r="G77" s="16" t="s">
        <v>387</v>
      </c>
      <c r="H77" s="16" t="s">
        <v>206</v>
      </c>
      <c r="I77" s="16" t="s">
        <v>68</v>
      </c>
      <c r="J77" s="12" t="n">
        <v>1</v>
      </c>
      <c r="K77" s="17" t="s">
        <v>68</v>
      </c>
      <c r="L77" s="17" t="s">
        <v>31</v>
      </c>
      <c r="M77" s="17"/>
      <c r="N77" s="17"/>
      <c r="O77" s="17"/>
      <c r="P77" s="18" t="s">
        <v>388</v>
      </c>
      <c r="Q77" s="16" t="s">
        <v>76</v>
      </c>
      <c r="R77" s="18" t="s">
        <v>61</v>
      </c>
    </row>
    <row r="78" customFormat="false" ht="42" hidden="false" customHeight="true" outlineLevel="0" collapsed="false">
      <c r="A78" s="10" t="n">
        <v>77</v>
      </c>
      <c r="B78" s="10" t="s">
        <v>389</v>
      </c>
      <c r="C78" s="10" t="s">
        <v>334</v>
      </c>
      <c r="D78" s="10" t="s">
        <v>348</v>
      </c>
      <c r="E78" s="10" t="s">
        <v>53</v>
      </c>
      <c r="F78" s="10" t="s">
        <v>390</v>
      </c>
      <c r="G78" s="10" t="s">
        <v>391</v>
      </c>
      <c r="H78" s="10" t="s">
        <v>206</v>
      </c>
      <c r="I78" s="10" t="s">
        <v>68</v>
      </c>
      <c r="J78" s="10" t="n">
        <v>2</v>
      </c>
      <c r="K78" s="13" t="s">
        <v>68</v>
      </c>
      <c r="L78" s="13" t="s">
        <v>31</v>
      </c>
      <c r="M78" s="13"/>
      <c r="N78" s="13"/>
      <c r="O78" s="13"/>
      <c r="P78" s="14" t="s">
        <v>392</v>
      </c>
      <c r="Q78" s="10" t="s">
        <v>76</v>
      </c>
      <c r="R78" s="14" t="s">
        <v>61</v>
      </c>
    </row>
    <row r="79" customFormat="false" ht="42" hidden="false" customHeight="true" outlineLevel="0" collapsed="false">
      <c r="A79" s="16" t="n">
        <v>78</v>
      </c>
      <c r="B79" s="16" t="s">
        <v>393</v>
      </c>
      <c r="C79" s="16" t="s">
        <v>334</v>
      </c>
      <c r="D79" s="16" t="s">
        <v>348</v>
      </c>
      <c r="E79" s="16" t="s">
        <v>53</v>
      </c>
      <c r="F79" s="16" t="s">
        <v>394</v>
      </c>
      <c r="G79" s="16" t="s">
        <v>395</v>
      </c>
      <c r="H79" s="16" t="s">
        <v>129</v>
      </c>
      <c r="I79" s="16" t="s">
        <v>68</v>
      </c>
      <c r="J79" s="16" t="n">
        <v>2</v>
      </c>
      <c r="K79" s="17" t="s">
        <v>68</v>
      </c>
      <c r="L79" s="17" t="s">
        <v>31</v>
      </c>
      <c r="M79" s="17"/>
      <c r="N79" s="17"/>
      <c r="O79" s="17"/>
      <c r="P79" s="18" t="s">
        <v>396</v>
      </c>
      <c r="Q79" s="16" t="s">
        <v>76</v>
      </c>
      <c r="R79" s="18" t="s">
        <v>61</v>
      </c>
    </row>
    <row r="80" customFormat="false" ht="42" hidden="false" customHeight="true" outlineLevel="0" collapsed="false">
      <c r="A80" s="10" t="n">
        <v>79</v>
      </c>
      <c r="B80" s="10" t="s">
        <v>397</v>
      </c>
      <c r="C80" s="10" t="s">
        <v>334</v>
      </c>
      <c r="D80" s="10" t="s">
        <v>398</v>
      </c>
      <c r="E80" s="10" t="s">
        <v>53</v>
      </c>
      <c r="F80" s="10" t="s">
        <v>399</v>
      </c>
      <c r="G80" s="10" t="s">
        <v>400</v>
      </c>
      <c r="H80" s="10" t="s">
        <v>253</v>
      </c>
      <c r="I80" s="10" t="s">
        <v>68</v>
      </c>
      <c r="J80" s="10" t="n">
        <v>2</v>
      </c>
      <c r="K80" s="13" t="s">
        <v>68</v>
      </c>
      <c r="L80" s="13" t="s">
        <v>31</v>
      </c>
      <c r="M80" s="13"/>
      <c r="N80" s="13"/>
      <c r="O80" s="13"/>
      <c r="P80" s="14" t="s">
        <v>401</v>
      </c>
      <c r="Q80" s="15" t="s">
        <v>60</v>
      </c>
      <c r="R80" s="14" t="s">
        <v>61</v>
      </c>
    </row>
    <row r="81" customFormat="false" ht="42" hidden="false" customHeight="true" outlineLevel="0" collapsed="false">
      <c r="A81" s="16" t="n">
        <v>80</v>
      </c>
      <c r="B81" s="16" t="s">
        <v>402</v>
      </c>
      <c r="C81" s="16" t="s">
        <v>334</v>
      </c>
      <c r="D81" s="16" t="s">
        <v>398</v>
      </c>
      <c r="E81" s="16" t="s">
        <v>53</v>
      </c>
      <c r="F81" s="16" t="s">
        <v>399</v>
      </c>
      <c r="G81" s="16" t="s">
        <v>403</v>
      </c>
      <c r="H81" s="16" t="s">
        <v>206</v>
      </c>
      <c r="I81" s="16" t="s">
        <v>68</v>
      </c>
      <c r="J81" s="16" t="n">
        <v>2</v>
      </c>
      <c r="K81" s="17" t="s">
        <v>68</v>
      </c>
      <c r="L81" s="17" t="s">
        <v>31</v>
      </c>
      <c r="M81" s="17"/>
      <c r="N81" s="17"/>
      <c r="O81" s="17"/>
      <c r="P81" s="18" t="s">
        <v>404</v>
      </c>
      <c r="Q81" s="15" t="s">
        <v>60</v>
      </c>
      <c r="R81" s="18" t="s">
        <v>61</v>
      </c>
    </row>
    <row r="82" customFormat="false" ht="42" hidden="false" customHeight="true" outlineLevel="0" collapsed="false">
      <c r="A82" s="10" t="n">
        <v>81</v>
      </c>
      <c r="B82" s="10" t="s">
        <v>405</v>
      </c>
      <c r="C82" s="10" t="s">
        <v>334</v>
      </c>
      <c r="D82" s="10" t="s">
        <v>335</v>
      </c>
      <c r="E82" s="10" t="s">
        <v>336</v>
      </c>
      <c r="F82" s="10" t="s">
        <v>406</v>
      </c>
      <c r="G82" s="10" t="s">
        <v>407</v>
      </c>
      <c r="H82" s="10" t="s">
        <v>129</v>
      </c>
      <c r="I82" s="10" t="s">
        <v>68</v>
      </c>
      <c r="J82" s="10" t="n">
        <v>2</v>
      </c>
      <c r="K82" s="13" t="s">
        <v>58</v>
      </c>
      <c r="L82" s="13" t="s">
        <v>31</v>
      </c>
      <c r="M82" s="13"/>
      <c r="N82" s="13"/>
      <c r="O82" s="13"/>
      <c r="P82" s="14" t="s">
        <v>408</v>
      </c>
      <c r="Q82" s="10" t="s">
        <v>76</v>
      </c>
      <c r="R82" s="14" t="s">
        <v>61</v>
      </c>
    </row>
    <row r="83" customFormat="false" ht="42" hidden="false" customHeight="true" outlineLevel="0" collapsed="false">
      <c r="A83" s="16" t="n">
        <v>82</v>
      </c>
      <c r="B83" s="16" t="s">
        <v>409</v>
      </c>
      <c r="C83" s="16" t="s">
        <v>334</v>
      </c>
      <c r="D83" s="16" t="s">
        <v>398</v>
      </c>
      <c r="E83" s="16" t="s">
        <v>53</v>
      </c>
      <c r="F83" s="16" t="s">
        <v>399</v>
      </c>
      <c r="G83" s="16" t="s">
        <v>410</v>
      </c>
      <c r="H83" s="16" t="s">
        <v>273</v>
      </c>
      <c r="I83" s="16" t="s">
        <v>68</v>
      </c>
      <c r="J83" s="16" t="n">
        <v>2</v>
      </c>
      <c r="K83" s="17" t="s">
        <v>68</v>
      </c>
      <c r="L83" s="17" t="s">
        <v>31</v>
      </c>
      <c r="M83" s="17"/>
      <c r="N83" s="17"/>
      <c r="O83" s="17"/>
      <c r="P83" s="18" t="s">
        <v>411</v>
      </c>
      <c r="Q83" s="15" t="s">
        <v>60</v>
      </c>
      <c r="R83" s="18" t="s">
        <v>61</v>
      </c>
    </row>
    <row r="84" customFormat="false" ht="42" hidden="false" customHeight="true" outlineLevel="0" collapsed="false">
      <c r="A84" s="10" t="n">
        <v>83</v>
      </c>
      <c r="B84" s="10" t="s">
        <v>412</v>
      </c>
      <c r="C84" s="10" t="s">
        <v>334</v>
      </c>
      <c r="D84" s="10" t="s">
        <v>348</v>
      </c>
      <c r="E84" s="10" t="s">
        <v>53</v>
      </c>
      <c r="F84" s="10" t="s">
        <v>413</v>
      </c>
      <c r="G84" s="10" t="s">
        <v>414</v>
      </c>
      <c r="H84" s="10" t="s">
        <v>159</v>
      </c>
      <c r="I84" s="10" t="s">
        <v>68</v>
      </c>
      <c r="J84" s="10" t="n">
        <v>3</v>
      </c>
      <c r="K84" s="13" t="s">
        <v>68</v>
      </c>
      <c r="L84" s="13" t="s">
        <v>31</v>
      </c>
      <c r="M84" s="13"/>
      <c r="N84" s="13"/>
      <c r="O84" s="13"/>
      <c r="P84" s="14" t="s">
        <v>415</v>
      </c>
      <c r="Q84" s="10" t="s">
        <v>76</v>
      </c>
      <c r="R84" s="14" t="s">
        <v>61</v>
      </c>
    </row>
    <row r="85" customFormat="false" ht="42" hidden="false" customHeight="true" outlineLevel="0" collapsed="false">
      <c r="A85" s="16" t="n">
        <v>84</v>
      </c>
      <c r="B85" s="16" t="s">
        <v>416</v>
      </c>
      <c r="C85" s="16" t="s">
        <v>334</v>
      </c>
      <c r="D85" s="16" t="s">
        <v>417</v>
      </c>
      <c r="E85" s="16" t="s">
        <v>418</v>
      </c>
      <c r="F85" s="16" t="s">
        <v>419</v>
      </c>
      <c r="G85" s="16" t="s">
        <v>420</v>
      </c>
      <c r="H85" s="16" t="s">
        <v>119</v>
      </c>
      <c r="I85" s="16" t="s">
        <v>68</v>
      </c>
      <c r="J85" s="16" t="n">
        <v>3</v>
      </c>
      <c r="K85" s="17" t="s">
        <v>58</v>
      </c>
      <c r="L85" s="17" t="s">
        <v>31</v>
      </c>
      <c r="M85" s="17"/>
      <c r="N85" s="17"/>
      <c r="O85" s="17"/>
      <c r="P85" s="18" t="s">
        <v>421</v>
      </c>
      <c r="Q85" s="15" t="s">
        <v>60</v>
      </c>
      <c r="R85" s="18" t="s">
        <v>61</v>
      </c>
    </row>
    <row r="86" customFormat="false" ht="42" hidden="false" customHeight="true" outlineLevel="0" collapsed="false">
      <c r="A86" s="10" t="n">
        <v>85</v>
      </c>
      <c r="B86" s="10" t="s">
        <v>422</v>
      </c>
      <c r="C86" s="10" t="s">
        <v>334</v>
      </c>
      <c r="D86" s="10" t="s">
        <v>423</v>
      </c>
      <c r="E86" s="10" t="s">
        <v>53</v>
      </c>
      <c r="F86" s="10" t="s">
        <v>424</v>
      </c>
      <c r="G86" s="10" t="s">
        <v>425</v>
      </c>
      <c r="H86" s="10" t="s">
        <v>129</v>
      </c>
      <c r="I86" s="10" t="s">
        <v>68</v>
      </c>
      <c r="J86" s="10" t="n">
        <v>3</v>
      </c>
      <c r="K86" s="13" t="s">
        <v>68</v>
      </c>
      <c r="L86" s="13" t="s">
        <v>31</v>
      </c>
      <c r="M86" s="13"/>
      <c r="N86" s="13"/>
      <c r="O86" s="13"/>
      <c r="P86" s="14" t="s">
        <v>426</v>
      </c>
      <c r="Q86" s="10" t="s">
        <v>76</v>
      </c>
      <c r="R86" s="14" t="s">
        <v>61</v>
      </c>
    </row>
    <row r="87" customFormat="false" ht="42" hidden="false" customHeight="true" outlineLevel="0" collapsed="false">
      <c r="A87" s="16" t="n">
        <v>86</v>
      </c>
      <c r="B87" s="16" t="s">
        <v>427</v>
      </c>
      <c r="C87" s="16" t="s">
        <v>334</v>
      </c>
      <c r="D87" s="16" t="s">
        <v>423</v>
      </c>
      <c r="E87" s="16" t="s">
        <v>53</v>
      </c>
      <c r="F87" s="16" t="s">
        <v>428</v>
      </c>
      <c r="G87" s="16" t="s">
        <v>429</v>
      </c>
      <c r="H87" s="16" t="s">
        <v>129</v>
      </c>
      <c r="I87" s="16" t="s">
        <v>68</v>
      </c>
      <c r="J87" s="16" t="n">
        <v>3</v>
      </c>
      <c r="K87" s="17" t="s">
        <v>68</v>
      </c>
      <c r="L87" s="17" t="s">
        <v>31</v>
      </c>
      <c r="M87" s="17"/>
      <c r="N87" s="17"/>
      <c r="O87" s="17"/>
      <c r="P87" s="18" t="s">
        <v>430</v>
      </c>
      <c r="Q87" s="16" t="s">
        <v>76</v>
      </c>
      <c r="R87" s="18" t="s">
        <v>61</v>
      </c>
    </row>
    <row r="88" customFormat="false" ht="42" hidden="false" customHeight="true" outlineLevel="0" collapsed="false">
      <c r="A88" s="10" t="n">
        <v>87</v>
      </c>
      <c r="B88" s="10" t="s">
        <v>431</v>
      </c>
      <c r="C88" s="10" t="s">
        <v>334</v>
      </c>
      <c r="D88" s="10" t="s">
        <v>417</v>
      </c>
      <c r="E88" s="10" t="s">
        <v>432</v>
      </c>
      <c r="F88" s="10" t="s">
        <v>419</v>
      </c>
      <c r="G88" s="10" t="s">
        <v>433</v>
      </c>
      <c r="H88" s="10" t="s">
        <v>159</v>
      </c>
      <c r="I88" s="10" t="s">
        <v>68</v>
      </c>
      <c r="J88" s="10" t="n">
        <v>3</v>
      </c>
      <c r="K88" s="13" t="s">
        <v>58</v>
      </c>
      <c r="L88" s="13" t="s">
        <v>31</v>
      </c>
      <c r="M88" s="13"/>
      <c r="N88" s="13"/>
      <c r="O88" s="13"/>
      <c r="P88" s="14" t="s">
        <v>434</v>
      </c>
      <c r="Q88" s="15" t="s">
        <v>60</v>
      </c>
      <c r="R88" s="14" t="s">
        <v>61</v>
      </c>
    </row>
    <row r="89" customFormat="false" ht="42" hidden="false" customHeight="true" outlineLevel="0" collapsed="false">
      <c r="A89" s="16" t="n">
        <v>88</v>
      </c>
      <c r="B89" s="16" t="s">
        <v>435</v>
      </c>
      <c r="C89" s="16" t="s">
        <v>334</v>
      </c>
      <c r="D89" s="16" t="s">
        <v>362</v>
      </c>
      <c r="E89" s="16" t="s">
        <v>436</v>
      </c>
      <c r="F89" s="16" t="s">
        <v>437</v>
      </c>
      <c r="G89" s="16" t="s">
        <v>438</v>
      </c>
      <c r="H89" s="16" t="s">
        <v>273</v>
      </c>
      <c r="I89" s="16" t="s">
        <v>68</v>
      </c>
      <c r="J89" s="16" t="n">
        <v>3</v>
      </c>
      <c r="K89" s="17" t="s">
        <v>58</v>
      </c>
      <c r="L89" s="17" t="s">
        <v>31</v>
      </c>
      <c r="M89" s="17"/>
      <c r="N89" s="17"/>
      <c r="O89" s="17"/>
      <c r="P89" s="18" t="s">
        <v>439</v>
      </c>
      <c r="Q89" s="15" t="s">
        <v>60</v>
      </c>
      <c r="R89" s="18" t="s">
        <v>61</v>
      </c>
    </row>
    <row r="90" customFormat="false" ht="42" hidden="false" customHeight="true" outlineLevel="0" collapsed="false">
      <c r="A90" s="10" t="n">
        <v>89</v>
      </c>
      <c r="B90" s="10" t="s">
        <v>440</v>
      </c>
      <c r="C90" s="10" t="s">
        <v>334</v>
      </c>
      <c r="D90" s="10" t="s">
        <v>417</v>
      </c>
      <c r="E90" s="10" t="s">
        <v>441</v>
      </c>
      <c r="F90" s="10" t="s">
        <v>390</v>
      </c>
      <c r="G90" s="10" t="s">
        <v>442</v>
      </c>
      <c r="H90" s="10" t="s">
        <v>119</v>
      </c>
      <c r="I90" s="10" t="s">
        <v>68</v>
      </c>
      <c r="J90" s="10" t="n">
        <v>3</v>
      </c>
      <c r="K90" s="13" t="s">
        <v>68</v>
      </c>
      <c r="L90" s="13" t="s">
        <v>31</v>
      </c>
      <c r="M90" s="13"/>
      <c r="N90" s="13"/>
      <c r="O90" s="13"/>
      <c r="P90" s="14" t="s">
        <v>443</v>
      </c>
      <c r="Q90" s="15" t="s">
        <v>60</v>
      </c>
      <c r="R90" s="14" t="s">
        <v>61</v>
      </c>
    </row>
    <row r="91" customFormat="false" ht="42" hidden="false" customHeight="true" outlineLevel="0" collapsed="false">
      <c r="A91" s="16" t="n">
        <v>90</v>
      </c>
      <c r="B91" s="16" t="s">
        <v>444</v>
      </c>
      <c r="C91" s="16" t="s">
        <v>334</v>
      </c>
      <c r="D91" s="16" t="s">
        <v>398</v>
      </c>
      <c r="E91" s="16" t="s">
        <v>53</v>
      </c>
      <c r="F91" s="16" t="s">
        <v>445</v>
      </c>
      <c r="G91" s="16" t="s">
        <v>446</v>
      </c>
      <c r="H91" s="16" t="s">
        <v>129</v>
      </c>
      <c r="I91" s="16" t="s">
        <v>68</v>
      </c>
      <c r="J91" s="16" t="n">
        <v>3</v>
      </c>
      <c r="K91" s="17" t="s">
        <v>68</v>
      </c>
      <c r="L91" s="17" t="s">
        <v>31</v>
      </c>
      <c r="M91" s="17"/>
      <c r="N91" s="17"/>
      <c r="O91" s="17"/>
      <c r="P91" s="18" t="s">
        <v>447</v>
      </c>
      <c r="Q91" s="16" t="s">
        <v>76</v>
      </c>
      <c r="R91" s="18" t="s">
        <v>61</v>
      </c>
    </row>
    <row r="92" customFormat="false" ht="42" hidden="false" customHeight="true" outlineLevel="0" collapsed="false">
      <c r="A92" s="10" t="n">
        <v>91</v>
      </c>
      <c r="B92" s="10" t="s">
        <v>448</v>
      </c>
      <c r="C92" s="10" t="s">
        <v>334</v>
      </c>
      <c r="D92" s="10" t="s">
        <v>449</v>
      </c>
      <c r="E92" s="10" t="s">
        <v>53</v>
      </c>
      <c r="F92" s="10" t="s">
        <v>450</v>
      </c>
      <c r="G92" s="10" t="s">
        <v>451</v>
      </c>
      <c r="H92" s="10" t="s">
        <v>129</v>
      </c>
      <c r="I92" s="10" t="s">
        <v>68</v>
      </c>
      <c r="J92" s="10" t="n">
        <v>3</v>
      </c>
      <c r="K92" s="13" t="s">
        <v>68</v>
      </c>
      <c r="L92" s="13" t="s">
        <v>31</v>
      </c>
      <c r="M92" s="13"/>
      <c r="N92" s="13"/>
      <c r="O92" s="13"/>
      <c r="P92" s="14" t="s">
        <v>452</v>
      </c>
      <c r="Q92" s="10" t="s">
        <v>76</v>
      </c>
      <c r="R92" s="14" t="s">
        <v>61</v>
      </c>
    </row>
    <row r="93" customFormat="false" ht="42" hidden="false" customHeight="true" outlineLevel="0" collapsed="false">
      <c r="A93" s="16" t="n">
        <v>92</v>
      </c>
      <c r="B93" s="16" t="s">
        <v>453</v>
      </c>
      <c r="C93" s="16" t="s">
        <v>334</v>
      </c>
      <c r="D93" s="16" t="s">
        <v>398</v>
      </c>
      <c r="E93" s="16" t="s">
        <v>53</v>
      </c>
      <c r="F93" s="16" t="s">
        <v>445</v>
      </c>
      <c r="G93" s="16" t="s">
        <v>446</v>
      </c>
      <c r="H93" s="16" t="s">
        <v>145</v>
      </c>
      <c r="I93" s="16" t="s">
        <v>68</v>
      </c>
      <c r="J93" s="16" t="n">
        <v>3</v>
      </c>
      <c r="K93" s="17" t="s">
        <v>68</v>
      </c>
      <c r="L93" s="17" t="s">
        <v>31</v>
      </c>
      <c r="M93" s="17"/>
      <c r="N93" s="17"/>
      <c r="O93" s="17"/>
      <c r="P93" s="18" t="s">
        <v>454</v>
      </c>
      <c r="Q93" s="16" t="s">
        <v>76</v>
      </c>
      <c r="R93" s="18" t="s">
        <v>61</v>
      </c>
    </row>
    <row r="94" customFormat="false" ht="42" hidden="false" customHeight="true" outlineLevel="0" collapsed="false">
      <c r="A94" s="10" t="n">
        <v>93</v>
      </c>
      <c r="B94" s="10" t="s">
        <v>455</v>
      </c>
      <c r="C94" s="10" t="s">
        <v>334</v>
      </c>
      <c r="D94" s="10" t="s">
        <v>417</v>
      </c>
      <c r="E94" s="10" t="s">
        <v>456</v>
      </c>
      <c r="F94" s="10" t="s">
        <v>457</v>
      </c>
      <c r="G94" s="10" t="s">
        <v>458</v>
      </c>
      <c r="H94" s="10" t="s">
        <v>159</v>
      </c>
      <c r="I94" s="10" t="s">
        <v>68</v>
      </c>
      <c r="J94" s="10" t="n">
        <v>3</v>
      </c>
      <c r="K94" s="13" t="s">
        <v>68</v>
      </c>
      <c r="L94" s="13" t="s">
        <v>31</v>
      </c>
      <c r="M94" s="13"/>
      <c r="N94" s="13"/>
      <c r="O94" s="13"/>
      <c r="P94" s="14" t="s">
        <v>459</v>
      </c>
      <c r="Q94" s="10" t="s">
        <v>76</v>
      </c>
      <c r="R94" s="14" t="s">
        <v>61</v>
      </c>
    </row>
    <row r="95" customFormat="false" ht="42" hidden="false" customHeight="true" outlineLevel="0" collapsed="false">
      <c r="A95" s="16" t="n">
        <v>94</v>
      </c>
      <c r="B95" s="16" t="s">
        <v>460</v>
      </c>
      <c r="C95" s="16" t="s">
        <v>334</v>
      </c>
      <c r="D95" s="16" t="s">
        <v>461</v>
      </c>
      <c r="E95" s="16" t="s">
        <v>462</v>
      </c>
      <c r="F95" s="16" t="s">
        <v>463</v>
      </c>
      <c r="G95" s="16" t="s">
        <v>464</v>
      </c>
      <c r="H95" s="16" t="s">
        <v>134</v>
      </c>
      <c r="I95" s="16" t="s">
        <v>68</v>
      </c>
      <c r="J95" s="16" t="n">
        <v>3</v>
      </c>
      <c r="K95" s="17" t="s">
        <v>58</v>
      </c>
      <c r="L95" s="17" t="s">
        <v>31</v>
      </c>
      <c r="M95" s="17"/>
      <c r="N95" s="17"/>
      <c r="O95" s="17"/>
      <c r="P95" s="18" t="s">
        <v>465</v>
      </c>
      <c r="Q95" s="16" t="s">
        <v>76</v>
      </c>
      <c r="R95" s="18" t="s">
        <v>61</v>
      </c>
    </row>
    <row r="96" customFormat="false" ht="42" hidden="false" customHeight="true" outlineLevel="0" collapsed="false">
      <c r="A96" s="10" t="n">
        <v>95</v>
      </c>
      <c r="B96" s="10" t="s">
        <v>466</v>
      </c>
      <c r="C96" s="10" t="s">
        <v>467</v>
      </c>
      <c r="D96" s="10" t="s">
        <v>327</v>
      </c>
      <c r="E96" s="10" t="s">
        <v>53</v>
      </c>
      <c r="F96" s="10" t="s">
        <v>468</v>
      </c>
      <c r="G96" s="10" t="s">
        <v>414</v>
      </c>
      <c r="H96" s="10" t="s">
        <v>129</v>
      </c>
      <c r="I96" s="10" t="s">
        <v>58</v>
      </c>
      <c r="J96" s="10" t="n">
        <v>2</v>
      </c>
      <c r="K96" s="13" t="s">
        <v>68</v>
      </c>
      <c r="L96" s="13" t="s">
        <v>31</v>
      </c>
      <c r="M96" s="13"/>
      <c r="N96" s="13"/>
      <c r="O96" s="13"/>
      <c r="P96" s="14" t="s">
        <v>469</v>
      </c>
      <c r="Q96" s="15" t="s">
        <v>60</v>
      </c>
      <c r="R96" s="14" t="s">
        <v>61</v>
      </c>
    </row>
    <row r="97" customFormat="false" ht="42" hidden="false" customHeight="true" outlineLevel="0" collapsed="false">
      <c r="A97" s="16" t="n">
        <v>96</v>
      </c>
      <c r="B97" s="16" t="s">
        <v>470</v>
      </c>
      <c r="C97" s="16" t="s">
        <v>467</v>
      </c>
      <c r="D97" s="16" t="s">
        <v>230</v>
      </c>
      <c r="E97" s="16" t="s">
        <v>53</v>
      </c>
      <c r="F97" s="16" t="s">
        <v>295</v>
      </c>
      <c r="G97" s="16" t="s">
        <v>471</v>
      </c>
      <c r="H97" s="16" t="s">
        <v>145</v>
      </c>
      <c r="I97" s="16" t="s">
        <v>58</v>
      </c>
      <c r="J97" s="16" t="n">
        <v>2</v>
      </c>
      <c r="K97" s="17" t="s">
        <v>68</v>
      </c>
      <c r="L97" s="17" t="s">
        <v>31</v>
      </c>
      <c r="M97" s="17"/>
      <c r="N97" s="17"/>
      <c r="O97" s="17"/>
      <c r="P97" s="18" t="s">
        <v>472</v>
      </c>
      <c r="Q97" s="15" t="s">
        <v>60</v>
      </c>
      <c r="R97" s="18" t="s">
        <v>61</v>
      </c>
    </row>
    <row r="98" customFormat="false" ht="42" hidden="false" customHeight="true" outlineLevel="0" collapsed="false">
      <c r="A98" s="10" t="n">
        <v>97</v>
      </c>
      <c r="B98" s="10" t="s">
        <v>473</v>
      </c>
      <c r="C98" s="10" t="s">
        <v>467</v>
      </c>
      <c r="D98" s="10" t="s">
        <v>474</v>
      </c>
      <c r="E98" s="10" t="s">
        <v>475</v>
      </c>
      <c r="F98" s="10" t="s">
        <v>476</v>
      </c>
      <c r="G98" s="10" t="s">
        <v>477</v>
      </c>
      <c r="H98" s="10" t="s">
        <v>478</v>
      </c>
      <c r="I98" s="10" t="s">
        <v>58</v>
      </c>
      <c r="J98" s="10" t="n">
        <v>2</v>
      </c>
      <c r="K98" s="13" t="s">
        <v>58</v>
      </c>
      <c r="L98" s="13" t="s">
        <v>31</v>
      </c>
      <c r="M98" s="13"/>
      <c r="N98" s="13"/>
      <c r="O98" s="13"/>
      <c r="P98" s="14" t="s">
        <v>479</v>
      </c>
      <c r="Q98" s="15" t="s">
        <v>60</v>
      </c>
      <c r="R98" s="14" t="s">
        <v>61</v>
      </c>
    </row>
    <row r="99" customFormat="false" ht="42" hidden="false" customHeight="true" outlineLevel="0" collapsed="false">
      <c r="A99" s="16" t="n">
        <v>98</v>
      </c>
      <c r="B99" s="16" t="s">
        <v>480</v>
      </c>
      <c r="C99" s="16" t="s">
        <v>467</v>
      </c>
      <c r="D99" s="16" t="s">
        <v>327</v>
      </c>
      <c r="E99" s="16" t="s">
        <v>53</v>
      </c>
      <c r="F99" s="16" t="s">
        <v>251</v>
      </c>
      <c r="G99" s="16" t="s">
        <v>481</v>
      </c>
      <c r="H99" s="16" t="s">
        <v>159</v>
      </c>
      <c r="I99" s="16" t="s">
        <v>58</v>
      </c>
      <c r="J99" s="16" t="n">
        <v>3</v>
      </c>
      <c r="K99" s="17" t="s">
        <v>58</v>
      </c>
      <c r="L99" s="17" t="s">
        <v>31</v>
      </c>
      <c r="M99" s="17"/>
      <c r="N99" s="17"/>
      <c r="O99" s="17"/>
      <c r="P99" s="18" t="s">
        <v>482</v>
      </c>
      <c r="Q99" s="16" t="s">
        <v>76</v>
      </c>
      <c r="R99" s="18" t="s">
        <v>61</v>
      </c>
    </row>
    <row r="100" customFormat="false" ht="42" hidden="false" customHeight="true" outlineLevel="0" collapsed="false">
      <c r="A100" s="10" t="n">
        <v>99</v>
      </c>
      <c r="B100" s="10" t="s">
        <v>483</v>
      </c>
      <c r="C100" s="10" t="s">
        <v>467</v>
      </c>
      <c r="D100" s="10" t="s">
        <v>327</v>
      </c>
      <c r="E100" s="10" t="s">
        <v>53</v>
      </c>
      <c r="F100" s="10" t="s">
        <v>251</v>
      </c>
      <c r="G100" s="10"/>
      <c r="H100" s="10" t="s">
        <v>129</v>
      </c>
      <c r="I100" s="10" t="s">
        <v>58</v>
      </c>
      <c r="J100" s="10" t="n">
        <v>3</v>
      </c>
      <c r="K100" s="13" t="s">
        <v>58</v>
      </c>
      <c r="L100" s="13" t="s">
        <v>31</v>
      </c>
      <c r="M100" s="13"/>
      <c r="N100" s="13"/>
      <c r="O100" s="13"/>
      <c r="P100" s="14" t="s">
        <v>484</v>
      </c>
      <c r="Q100" s="10" t="s">
        <v>76</v>
      </c>
      <c r="R100" s="14" t="s">
        <v>61</v>
      </c>
    </row>
    <row r="101" customFormat="false" ht="42" hidden="false" customHeight="true" outlineLevel="0" collapsed="false">
      <c r="A101" s="16" t="n">
        <v>100</v>
      </c>
      <c r="B101" s="16" t="s">
        <v>485</v>
      </c>
      <c r="C101" s="16" t="s">
        <v>467</v>
      </c>
      <c r="D101" s="16" t="s">
        <v>298</v>
      </c>
      <c r="E101" s="16" t="s">
        <v>53</v>
      </c>
      <c r="F101" s="16" t="s">
        <v>406</v>
      </c>
      <c r="G101" s="16" t="s">
        <v>486</v>
      </c>
      <c r="H101" s="16" t="s">
        <v>66</v>
      </c>
      <c r="I101" s="16" t="s">
        <v>74</v>
      </c>
      <c r="J101" s="16" t="n">
        <v>3</v>
      </c>
      <c r="K101" s="17" t="s">
        <v>58</v>
      </c>
      <c r="L101" s="17" t="s">
        <v>31</v>
      </c>
      <c r="M101" s="17"/>
      <c r="N101" s="17"/>
      <c r="O101" s="17"/>
      <c r="P101" s="18" t="s">
        <v>487</v>
      </c>
      <c r="Q101" s="15" t="s">
        <v>60</v>
      </c>
      <c r="R101" s="18" t="s">
        <v>61</v>
      </c>
    </row>
    <row r="102" customFormat="false" ht="42" hidden="false" customHeight="true" outlineLevel="0" collapsed="false">
      <c r="A102" s="10" t="n">
        <v>101</v>
      </c>
      <c r="B102" s="11" t="s">
        <v>488</v>
      </c>
      <c r="C102" s="10" t="s">
        <v>489</v>
      </c>
      <c r="D102" s="10" t="s">
        <v>230</v>
      </c>
      <c r="E102" s="10" t="s">
        <v>53</v>
      </c>
      <c r="F102" s="10" t="s">
        <v>490</v>
      </c>
      <c r="G102" s="10"/>
      <c r="H102" s="10" t="s">
        <v>206</v>
      </c>
      <c r="I102" s="10" t="s">
        <v>58</v>
      </c>
      <c r="J102" s="12" t="n">
        <v>1</v>
      </c>
      <c r="K102" s="13" t="s">
        <v>68</v>
      </c>
      <c r="L102" s="13" t="s">
        <v>31</v>
      </c>
      <c r="M102" s="13"/>
      <c r="N102" s="13"/>
      <c r="O102" s="13"/>
      <c r="P102" s="14" t="s">
        <v>491</v>
      </c>
      <c r="Q102" s="15" t="s">
        <v>60</v>
      </c>
      <c r="R102" s="14" t="s">
        <v>61</v>
      </c>
    </row>
    <row r="103" customFormat="false" ht="42" hidden="false" customHeight="true" outlineLevel="0" collapsed="false">
      <c r="A103" s="16" t="n">
        <v>102</v>
      </c>
      <c r="B103" s="19" t="s">
        <v>492</v>
      </c>
      <c r="C103" s="16" t="s">
        <v>489</v>
      </c>
      <c r="D103" s="16" t="s">
        <v>327</v>
      </c>
      <c r="E103" s="16" t="s">
        <v>53</v>
      </c>
      <c r="F103" s="16" t="s">
        <v>241</v>
      </c>
      <c r="G103" s="16" t="s">
        <v>493</v>
      </c>
      <c r="H103" s="16" t="s">
        <v>243</v>
      </c>
      <c r="I103" s="16" t="s">
        <v>58</v>
      </c>
      <c r="J103" s="12" t="n">
        <v>1</v>
      </c>
      <c r="K103" s="17" t="s">
        <v>68</v>
      </c>
      <c r="L103" s="17" t="s">
        <v>31</v>
      </c>
      <c r="M103" s="17"/>
      <c r="N103" s="17"/>
      <c r="O103" s="17"/>
      <c r="P103" s="18" t="s">
        <v>494</v>
      </c>
      <c r="Q103" s="16" t="s">
        <v>76</v>
      </c>
      <c r="R103" s="18" t="s">
        <v>61</v>
      </c>
    </row>
    <row r="104" customFormat="false" ht="42" hidden="false" customHeight="true" outlineLevel="0" collapsed="false">
      <c r="A104" s="10" t="n">
        <v>103</v>
      </c>
      <c r="B104" s="11" t="s">
        <v>495</v>
      </c>
      <c r="C104" s="10" t="s">
        <v>489</v>
      </c>
      <c r="D104" s="10" t="s">
        <v>327</v>
      </c>
      <c r="E104" s="10" t="s">
        <v>53</v>
      </c>
      <c r="F104" s="10" t="s">
        <v>468</v>
      </c>
      <c r="G104" s="10" t="s">
        <v>496</v>
      </c>
      <c r="H104" s="10" t="s">
        <v>145</v>
      </c>
      <c r="I104" s="10" t="s">
        <v>58</v>
      </c>
      <c r="J104" s="12" t="n">
        <v>1</v>
      </c>
      <c r="K104" s="13" t="s">
        <v>68</v>
      </c>
      <c r="L104" s="13" t="s">
        <v>31</v>
      </c>
      <c r="M104" s="13"/>
      <c r="N104" s="13"/>
      <c r="O104" s="13"/>
      <c r="P104" s="14" t="s">
        <v>497</v>
      </c>
      <c r="Q104" s="10" t="s">
        <v>76</v>
      </c>
      <c r="R104" s="14" t="s">
        <v>61</v>
      </c>
    </row>
    <row r="105" customFormat="false" ht="42" hidden="false" customHeight="true" outlineLevel="0" collapsed="false">
      <c r="A105" s="16" t="n">
        <v>104</v>
      </c>
      <c r="B105" s="19" t="s">
        <v>498</v>
      </c>
      <c r="C105" s="16" t="s">
        <v>489</v>
      </c>
      <c r="D105" s="16" t="s">
        <v>230</v>
      </c>
      <c r="E105" s="16" t="s">
        <v>53</v>
      </c>
      <c r="F105" s="16" t="s">
        <v>295</v>
      </c>
      <c r="G105" s="16" t="s">
        <v>499</v>
      </c>
      <c r="H105" s="16" t="s">
        <v>253</v>
      </c>
      <c r="I105" s="16" t="s">
        <v>58</v>
      </c>
      <c r="J105" s="12" t="n">
        <v>1</v>
      </c>
      <c r="K105" s="17" t="s">
        <v>68</v>
      </c>
      <c r="L105" s="17" t="s">
        <v>31</v>
      </c>
      <c r="M105" s="17"/>
      <c r="N105" s="17"/>
      <c r="O105" s="17"/>
      <c r="P105" s="18" t="s">
        <v>500</v>
      </c>
      <c r="Q105" s="15" t="s">
        <v>60</v>
      </c>
      <c r="R105" s="18" t="s">
        <v>61</v>
      </c>
    </row>
    <row r="106" customFormat="false" ht="42" hidden="false" customHeight="true" outlineLevel="0" collapsed="false">
      <c r="A106" s="10" t="n">
        <v>105</v>
      </c>
      <c r="B106" s="11" t="s">
        <v>501</v>
      </c>
      <c r="C106" s="10" t="s">
        <v>489</v>
      </c>
      <c r="D106" s="10" t="s">
        <v>502</v>
      </c>
      <c r="E106" s="10" t="s">
        <v>53</v>
      </c>
      <c r="F106" s="10" t="s">
        <v>503</v>
      </c>
      <c r="G106" s="10" t="s">
        <v>504</v>
      </c>
      <c r="H106" s="10" t="s">
        <v>206</v>
      </c>
      <c r="I106" s="10" t="s">
        <v>58</v>
      </c>
      <c r="J106" s="12" t="n">
        <v>1</v>
      </c>
      <c r="K106" s="13" t="s">
        <v>58</v>
      </c>
      <c r="L106" s="13" t="s">
        <v>31</v>
      </c>
      <c r="M106" s="13"/>
      <c r="N106" s="13"/>
      <c r="O106" s="13"/>
      <c r="P106" s="14" t="s">
        <v>505</v>
      </c>
      <c r="Q106" s="10" t="s">
        <v>76</v>
      </c>
      <c r="R106" s="14" t="s">
        <v>61</v>
      </c>
    </row>
    <row r="107" customFormat="false" ht="42" hidden="false" customHeight="true" outlineLevel="0" collapsed="false">
      <c r="A107" s="16" t="n">
        <v>106</v>
      </c>
      <c r="B107" s="16" t="s">
        <v>506</v>
      </c>
      <c r="C107" s="16" t="s">
        <v>489</v>
      </c>
      <c r="D107" s="16" t="s">
        <v>234</v>
      </c>
      <c r="E107" s="16" t="s">
        <v>53</v>
      </c>
      <c r="F107" s="16" t="s">
        <v>221</v>
      </c>
      <c r="G107" s="16" t="s">
        <v>507</v>
      </c>
      <c r="H107" s="16" t="s">
        <v>87</v>
      </c>
      <c r="I107" s="16" t="s">
        <v>58</v>
      </c>
      <c r="J107" s="16" t="n">
        <v>2</v>
      </c>
      <c r="K107" s="17" t="s">
        <v>58</v>
      </c>
      <c r="L107" s="17" t="s">
        <v>31</v>
      </c>
      <c r="M107" s="17"/>
      <c r="N107" s="17"/>
      <c r="O107" s="17"/>
      <c r="P107" s="18" t="s">
        <v>508</v>
      </c>
      <c r="Q107" s="16" t="s">
        <v>76</v>
      </c>
      <c r="R107" s="18" t="s">
        <v>61</v>
      </c>
    </row>
    <row r="108" customFormat="false" ht="42" hidden="false" customHeight="true" outlineLevel="0" collapsed="false">
      <c r="A108" s="10" t="n">
        <v>107</v>
      </c>
      <c r="B108" s="10" t="s">
        <v>509</v>
      </c>
      <c r="C108" s="10" t="s">
        <v>489</v>
      </c>
      <c r="D108" s="10" t="s">
        <v>327</v>
      </c>
      <c r="E108" s="10" t="s">
        <v>53</v>
      </c>
      <c r="F108" s="10" t="s">
        <v>241</v>
      </c>
      <c r="G108" s="10" t="s">
        <v>510</v>
      </c>
      <c r="H108" s="10" t="s">
        <v>129</v>
      </c>
      <c r="I108" s="10" t="s">
        <v>58</v>
      </c>
      <c r="J108" s="10" t="n">
        <v>2</v>
      </c>
      <c r="K108" s="13" t="s">
        <v>68</v>
      </c>
      <c r="L108" s="13" t="s">
        <v>31</v>
      </c>
      <c r="M108" s="13"/>
      <c r="N108" s="13"/>
      <c r="O108" s="13"/>
      <c r="P108" s="14" t="s">
        <v>511</v>
      </c>
      <c r="Q108" s="10" t="s">
        <v>76</v>
      </c>
      <c r="R108" s="14" t="s">
        <v>61</v>
      </c>
    </row>
    <row r="109" customFormat="false" ht="42" hidden="false" customHeight="true" outlineLevel="0" collapsed="false">
      <c r="A109" s="16" t="n">
        <v>108</v>
      </c>
      <c r="B109" s="16" t="s">
        <v>512</v>
      </c>
      <c r="C109" s="16" t="s">
        <v>489</v>
      </c>
      <c r="D109" s="16" t="s">
        <v>230</v>
      </c>
      <c r="E109" s="16" t="s">
        <v>53</v>
      </c>
      <c r="F109" s="16" t="s">
        <v>295</v>
      </c>
      <c r="G109" s="16" t="s">
        <v>513</v>
      </c>
      <c r="H109" s="16" t="s">
        <v>273</v>
      </c>
      <c r="I109" s="16" t="s">
        <v>58</v>
      </c>
      <c r="J109" s="16" t="n">
        <v>2</v>
      </c>
      <c r="K109" s="17" t="s">
        <v>68</v>
      </c>
      <c r="L109" s="17" t="s">
        <v>31</v>
      </c>
      <c r="M109" s="17"/>
      <c r="N109" s="17"/>
      <c r="O109" s="17"/>
      <c r="P109" s="18" t="s">
        <v>514</v>
      </c>
      <c r="Q109" s="15" t="s">
        <v>60</v>
      </c>
      <c r="R109" s="18" t="s">
        <v>61</v>
      </c>
    </row>
    <row r="110" customFormat="false" ht="42" hidden="false" customHeight="true" outlineLevel="0" collapsed="false">
      <c r="A110" s="10" t="n">
        <v>109</v>
      </c>
      <c r="B110" s="10" t="s">
        <v>515</v>
      </c>
      <c r="C110" s="10" t="s">
        <v>489</v>
      </c>
      <c r="D110" s="10" t="s">
        <v>230</v>
      </c>
      <c r="E110" s="10" t="s">
        <v>53</v>
      </c>
      <c r="F110" s="10" t="s">
        <v>241</v>
      </c>
      <c r="G110" s="10" t="s">
        <v>516</v>
      </c>
      <c r="H110" s="10" t="s">
        <v>206</v>
      </c>
      <c r="I110" s="10" t="s">
        <v>58</v>
      </c>
      <c r="J110" s="10" t="n">
        <v>2</v>
      </c>
      <c r="K110" s="13" t="s">
        <v>68</v>
      </c>
      <c r="L110" s="13" t="s">
        <v>31</v>
      </c>
      <c r="M110" s="13"/>
      <c r="N110" s="13"/>
      <c r="O110" s="13"/>
      <c r="P110" s="14" t="s">
        <v>517</v>
      </c>
      <c r="Q110" s="10" t="s">
        <v>76</v>
      </c>
      <c r="R110" s="14" t="s">
        <v>61</v>
      </c>
    </row>
    <row r="111" customFormat="false" ht="42" hidden="false" customHeight="true" outlineLevel="0" collapsed="false">
      <c r="A111" s="16" t="n">
        <v>110</v>
      </c>
      <c r="B111" s="16" t="s">
        <v>518</v>
      </c>
      <c r="C111" s="16" t="s">
        <v>489</v>
      </c>
      <c r="D111" s="16" t="s">
        <v>327</v>
      </c>
      <c r="E111" s="16" t="s">
        <v>53</v>
      </c>
      <c r="F111" s="16" t="s">
        <v>251</v>
      </c>
      <c r="G111" s="16"/>
      <c r="H111" s="16" t="s">
        <v>119</v>
      </c>
      <c r="I111" s="16" t="s">
        <v>58</v>
      </c>
      <c r="J111" s="16" t="n">
        <v>2</v>
      </c>
      <c r="K111" s="17" t="s">
        <v>68</v>
      </c>
      <c r="L111" s="17" t="s">
        <v>31</v>
      </c>
      <c r="M111" s="17"/>
      <c r="N111" s="17"/>
      <c r="O111" s="17"/>
      <c r="P111" s="18" t="s">
        <v>519</v>
      </c>
      <c r="Q111" s="15" t="s">
        <v>60</v>
      </c>
      <c r="R111" s="18" t="s">
        <v>61</v>
      </c>
    </row>
    <row r="112" customFormat="false" ht="42" hidden="false" customHeight="true" outlineLevel="0" collapsed="false">
      <c r="A112" s="10" t="n">
        <v>111</v>
      </c>
      <c r="B112" s="10" t="s">
        <v>520</v>
      </c>
      <c r="C112" s="10" t="s">
        <v>489</v>
      </c>
      <c r="D112" s="10" t="s">
        <v>327</v>
      </c>
      <c r="E112" s="10" t="s">
        <v>53</v>
      </c>
      <c r="F112" s="10" t="s">
        <v>241</v>
      </c>
      <c r="G112" s="10" t="s">
        <v>521</v>
      </c>
      <c r="H112" s="10" t="s">
        <v>276</v>
      </c>
      <c r="I112" s="10" t="s">
        <v>58</v>
      </c>
      <c r="J112" s="10" t="n">
        <v>2</v>
      </c>
      <c r="K112" s="13" t="s">
        <v>58</v>
      </c>
      <c r="L112" s="13" t="s">
        <v>31</v>
      </c>
      <c r="M112" s="13"/>
      <c r="N112" s="13"/>
      <c r="O112" s="13"/>
      <c r="P112" s="14" t="s">
        <v>522</v>
      </c>
      <c r="Q112" s="15" t="s">
        <v>60</v>
      </c>
      <c r="R112" s="14" t="s">
        <v>61</v>
      </c>
    </row>
    <row r="113" customFormat="false" ht="42" hidden="false" customHeight="true" outlineLevel="0" collapsed="false">
      <c r="A113" s="16" t="n">
        <v>112</v>
      </c>
      <c r="B113" s="16" t="s">
        <v>523</v>
      </c>
      <c r="C113" s="16" t="s">
        <v>489</v>
      </c>
      <c r="D113" s="16" t="s">
        <v>298</v>
      </c>
      <c r="E113" s="16" t="s">
        <v>53</v>
      </c>
      <c r="F113" s="16" t="s">
        <v>524</v>
      </c>
      <c r="G113" s="16" t="s">
        <v>525</v>
      </c>
      <c r="H113" s="16" t="s">
        <v>66</v>
      </c>
      <c r="I113" s="16" t="s">
        <v>74</v>
      </c>
      <c r="J113" s="16" t="n">
        <v>2</v>
      </c>
      <c r="K113" s="17" t="s">
        <v>58</v>
      </c>
      <c r="L113" s="17" t="s">
        <v>31</v>
      </c>
      <c r="M113" s="17"/>
      <c r="N113" s="17"/>
      <c r="O113" s="17"/>
      <c r="P113" s="18" t="s">
        <v>526</v>
      </c>
      <c r="Q113" s="15" t="s">
        <v>60</v>
      </c>
      <c r="R113" s="18" t="s">
        <v>61</v>
      </c>
    </row>
    <row r="114" customFormat="false" ht="42" hidden="false" customHeight="true" outlineLevel="0" collapsed="false">
      <c r="A114" s="10" t="n">
        <v>113</v>
      </c>
      <c r="B114" s="10" t="s">
        <v>527</v>
      </c>
      <c r="C114" s="10" t="s">
        <v>489</v>
      </c>
      <c r="D114" s="10" t="s">
        <v>230</v>
      </c>
      <c r="E114" s="10" t="s">
        <v>528</v>
      </c>
      <c r="F114" s="10" t="s">
        <v>529</v>
      </c>
      <c r="G114" s="10" t="s">
        <v>530</v>
      </c>
      <c r="H114" s="10" t="s">
        <v>206</v>
      </c>
      <c r="I114" s="10" t="s">
        <v>58</v>
      </c>
      <c r="J114" s="10" t="n">
        <v>2</v>
      </c>
      <c r="K114" s="13" t="s">
        <v>58</v>
      </c>
      <c r="L114" s="13" t="s">
        <v>31</v>
      </c>
      <c r="M114" s="13"/>
      <c r="N114" s="13"/>
      <c r="O114" s="13"/>
      <c r="P114" s="14" t="s">
        <v>531</v>
      </c>
      <c r="Q114" s="10" t="s">
        <v>76</v>
      </c>
      <c r="R114" s="14" t="s">
        <v>61</v>
      </c>
    </row>
    <row r="115" customFormat="false" ht="42" hidden="false" customHeight="true" outlineLevel="0" collapsed="false">
      <c r="A115" s="16" t="n">
        <v>114</v>
      </c>
      <c r="B115" s="16" t="s">
        <v>532</v>
      </c>
      <c r="C115" s="16" t="s">
        <v>489</v>
      </c>
      <c r="D115" s="16" t="s">
        <v>256</v>
      </c>
      <c r="E115" s="16" t="s">
        <v>53</v>
      </c>
      <c r="F115" s="16" t="s">
        <v>235</v>
      </c>
      <c r="G115" s="16"/>
      <c r="H115" s="16" t="s">
        <v>119</v>
      </c>
      <c r="I115" s="16" t="s">
        <v>58</v>
      </c>
      <c r="J115" s="16" t="n">
        <v>2</v>
      </c>
      <c r="K115" s="17" t="s">
        <v>68</v>
      </c>
      <c r="L115" s="17" t="s">
        <v>31</v>
      </c>
      <c r="M115" s="17"/>
      <c r="N115" s="17"/>
      <c r="O115" s="17"/>
      <c r="P115" s="18" t="s">
        <v>533</v>
      </c>
      <c r="Q115" s="16" t="s">
        <v>76</v>
      </c>
      <c r="R115" s="18" t="s">
        <v>61</v>
      </c>
    </row>
    <row r="116" customFormat="false" ht="42" hidden="false" customHeight="true" outlineLevel="0" collapsed="false">
      <c r="A116" s="10" t="n">
        <v>115</v>
      </c>
      <c r="B116" s="10" t="s">
        <v>534</v>
      </c>
      <c r="C116" s="10" t="s">
        <v>489</v>
      </c>
      <c r="D116" s="10" t="s">
        <v>230</v>
      </c>
      <c r="E116" s="10" t="s">
        <v>535</v>
      </c>
      <c r="F116" s="10" t="s">
        <v>251</v>
      </c>
      <c r="G116" s="10" t="s">
        <v>536</v>
      </c>
      <c r="H116" s="10" t="s">
        <v>206</v>
      </c>
      <c r="I116" s="10" t="s">
        <v>58</v>
      </c>
      <c r="J116" s="10" t="n">
        <v>2</v>
      </c>
      <c r="K116" s="13" t="s">
        <v>58</v>
      </c>
      <c r="L116" s="13" t="s">
        <v>31</v>
      </c>
      <c r="M116" s="13"/>
      <c r="N116" s="13"/>
      <c r="O116" s="13"/>
      <c r="P116" s="14" t="s">
        <v>537</v>
      </c>
      <c r="Q116" s="10" t="s">
        <v>76</v>
      </c>
      <c r="R116" s="14" t="s">
        <v>61</v>
      </c>
    </row>
    <row r="117" customFormat="false" ht="42" hidden="false" customHeight="true" outlineLevel="0" collapsed="false">
      <c r="A117" s="16" t="n">
        <v>116</v>
      </c>
      <c r="B117" s="16" t="s">
        <v>538</v>
      </c>
      <c r="C117" s="16" t="s">
        <v>489</v>
      </c>
      <c r="D117" s="16" t="s">
        <v>327</v>
      </c>
      <c r="E117" s="16" t="s">
        <v>53</v>
      </c>
      <c r="F117" s="16" t="s">
        <v>241</v>
      </c>
      <c r="G117" s="16" t="s">
        <v>539</v>
      </c>
      <c r="H117" s="16" t="s">
        <v>129</v>
      </c>
      <c r="I117" s="16" t="s">
        <v>58</v>
      </c>
      <c r="J117" s="16" t="n">
        <v>2</v>
      </c>
      <c r="K117" s="17" t="s">
        <v>68</v>
      </c>
      <c r="L117" s="17" t="s">
        <v>31</v>
      </c>
      <c r="M117" s="17"/>
      <c r="N117" s="17"/>
      <c r="O117" s="17"/>
      <c r="P117" s="18" t="s">
        <v>540</v>
      </c>
      <c r="Q117" s="16" t="s">
        <v>76</v>
      </c>
      <c r="R117" s="18" t="s">
        <v>61</v>
      </c>
    </row>
    <row r="118" customFormat="false" ht="42" hidden="false" customHeight="true" outlineLevel="0" collapsed="false">
      <c r="A118" s="10" t="n">
        <v>117</v>
      </c>
      <c r="B118" s="10" t="s">
        <v>541</v>
      </c>
      <c r="C118" s="10" t="s">
        <v>489</v>
      </c>
      <c r="D118" s="10" t="s">
        <v>542</v>
      </c>
      <c r="E118" s="10" t="s">
        <v>53</v>
      </c>
      <c r="F118" s="10" t="s">
        <v>543</v>
      </c>
      <c r="G118" s="10" t="s">
        <v>544</v>
      </c>
      <c r="H118" s="10" t="s">
        <v>87</v>
      </c>
      <c r="I118" s="10" t="s">
        <v>58</v>
      </c>
      <c r="J118" s="10" t="n">
        <v>2</v>
      </c>
      <c r="K118" s="13" t="s">
        <v>58</v>
      </c>
      <c r="L118" s="13" t="s">
        <v>31</v>
      </c>
      <c r="M118" s="13"/>
      <c r="N118" s="13"/>
      <c r="O118" s="13"/>
      <c r="P118" s="14" t="s">
        <v>545</v>
      </c>
      <c r="Q118" s="15" t="s">
        <v>60</v>
      </c>
      <c r="R118" s="14" t="s">
        <v>61</v>
      </c>
    </row>
    <row r="119" customFormat="false" ht="42" hidden="false" customHeight="true" outlineLevel="0" collapsed="false">
      <c r="A119" s="16" t="n">
        <v>118</v>
      </c>
      <c r="B119" s="16" t="s">
        <v>546</v>
      </c>
      <c r="C119" s="16" t="s">
        <v>489</v>
      </c>
      <c r="D119" s="16" t="s">
        <v>327</v>
      </c>
      <c r="E119" s="16" t="s">
        <v>53</v>
      </c>
      <c r="F119" s="16" t="s">
        <v>251</v>
      </c>
      <c r="G119" s="16"/>
      <c r="H119" s="16" t="s">
        <v>159</v>
      </c>
      <c r="I119" s="16" t="s">
        <v>58</v>
      </c>
      <c r="J119" s="16" t="n">
        <v>3</v>
      </c>
      <c r="K119" s="17" t="s">
        <v>68</v>
      </c>
      <c r="L119" s="17" t="s">
        <v>31</v>
      </c>
      <c r="M119" s="17"/>
      <c r="N119" s="17"/>
      <c r="O119" s="17"/>
      <c r="P119" s="18" t="s">
        <v>547</v>
      </c>
      <c r="Q119" s="16" t="s">
        <v>76</v>
      </c>
      <c r="R119" s="18" t="s">
        <v>61</v>
      </c>
    </row>
    <row r="120" customFormat="false" ht="42" hidden="false" customHeight="true" outlineLevel="0" collapsed="false">
      <c r="A120" s="10" t="n">
        <v>119</v>
      </c>
      <c r="B120" s="10" t="s">
        <v>548</v>
      </c>
      <c r="C120" s="10" t="s">
        <v>489</v>
      </c>
      <c r="D120" s="10" t="s">
        <v>549</v>
      </c>
      <c r="E120" s="10" t="s">
        <v>53</v>
      </c>
      <c r="F120" s="10" t="s">
        <v>550</v>
      </c>
      <c r="G120" s="10" t="s">
        <v>551</v>
      </c>
      <c r="H120" s="10" t="s">
        <v>66</v>
      </c>
      <c r="I120" s="10" t="s">
        <v>58</v>
      </c>
      <c r="J120" s="10" t="n">
        <v>3</v>
      </c>
      <c r="K120" s="13" t="s">
        <v>58</v>
      </c>
      <c r="L120" s="13" t="s">
        <v>31</v>
      </c>
      <c r="M120" s="13"/>
      <c r="N120" s="13"/>
      <c r="O120" s="13"/>
      <c r="P120" s="14" t="s">
        <v>552</v>
      </c>
      <c r="Q120" s="15" t="s">
        <v>60</v>
      </c>
      <c r="R120" s="14" t="s">
        <v>61</v>
      </c>
    </row>
    <row r="121" customFormat="false" ht="42" hidden="false" customHeight="true" outlineLevel="0" collapsed="false">
      <c r="A121" s="16" t="n">
        <v>120</v>
      </c>
      <c r="B121" s="16" t="s">
        <v>553</v>
      </c>
      <c r="C121" s="16" t="s">
        <v>489</v>
      </c>
      <c r="D121" s="16" t="s">
        <v>542</v>
      </c>
      <c r="E121" s="16" t="s">
        <v>53</v>
      </c>
      <c r="F121" s="16" t="s">
        <v>554</v>
      </c>
      <c r="G121" s="16" t="s">
        <v>555</v>
      </c>
      <c r="H121" s="16" t="s">
        <v>87</v>
      </c>
      <c r="I121" s="16" t="s">
        <v>58</v>
      </c>
      <c r="J121" s="16" t="n">
        <v>3</v>
      </c>
      <c r="K121" s="17" t="s">
        <v>58</v>
      </c>
      <c r="L121" s="17" t="s">
        <v>31</v>
      </c>
      <c r="M121" s="17"/>
      <c r="N121" s="17"/>
      <c r="O121" s="17"/>
      <c r="P121" s="18" t="s">
        <v>556</v>
      </c>
      <c r="Q121" s="15" t="s">
        <v>60</v>
      </c>
      <c r="R121" s="18" t="s">
        <v>61</v>
      </c>
    </row>
    <row r="122" customFormat="false" ht="42" hidden="false" customHeight="true" outlineLevel="0" collapsed="false">
      <c r="A122" s="10" t="n">
        <v>121</v>
      </c>
      <c r="B122" s="10" t="s">
        <v>557</v>
      </c>
      <c r="C122" s="10" t="s">
        <v>489</v>
      </c>
      <c r="D122" s="10" t="s">
        <v>327</v>
      </c>
      <c r="E122" s="10" t="s">
        <v>53</v>
      </c>
      <c r="F122" s="10" t="s">
        <v>251</v>
      </c>
      <c r="G122" s="10" t="s">
        <v>558</v>
      </c>
      <c r="H122" s="10" t="s">
        <v>159</v>
      </c>
      <c r="I122" s="10" t="s">
        <v>58</v>
      </c>
      <c r="J122" s="10" t="n">
        <v>3</v>
      </c>
      <c r="K122" s="13" t="s">
        <v>68</v>
      </c>
      <c r="L122" s="13" t="s">
        <v>31</v>
      </c>
      <c r="M122" s="13"/>
      <c r="N122" s="13"/>
      <c r="O122" s="13"/>
      <c r="P122" s="14" t="s">
        <v>559</v>
      </c>
      <c r="Q122" s="15" t="s">
        <v>60</v>
      </c>
      <c r="R122" s="14" t="s">
        <v>61</v>
      </c>
    </row>
    <row r="123" customFormat="false" ht="42" hidden="false" customHeight="true" outlineLevel="0" collapsed="false">
      <c r="A123" s="16" t="n">
        <v>122</v>
      </c>
      <c r="B123" s="16" t="s">
        <v>560</v>
      </c>
      <c r="C123" s="16" t="s">
        <v>489</v>
      </c>
      <c r="D123" s="16" t="s">
        <v>327</v>
      </c>
      <c r="E123" s="16" t="s">
        <v>53</v>
      </c>
      <c r="F123" s="16" t="s">
        <v>251</v>
      </c>
      <c r="G123" s="16" t="s">
        <v>561</v>
      </c>
      <c r="H123" s="16" t="s">
        <v>159</v>
      </c>
      <c r="I123" s="16" t="s">
        <v>58</v>
      </c>
      <c r="J123" s="16" t="n">
        <v>3</v>
      </c>
      <c r="K123" s="17" t="s">
        <v>68</v>
      </c>
      <c r="L123" s="17" t="s">
        <v>31</v>
      </c>
      <c r="M123" s="17"/>
      <c r="N123" s="17"/>
      <c r="O123" s="17"/>
      <c r="P123" s="18" t="s">
        <v>562</v>
      </c>
      <c r="Q123" s="16" t="s">
        <v>76</v>
      </c>
      <c r="R123" s="18" t="s">
        <v>61</v>
      </c>
    </row>
    <row r="124" customFormat="false" ht="42" hidden="false" customHeight="true" outlineLevel="0" collapsed="false">
      <c r="A124" s="10" t="n">
        <v>123</v>
      </c>
      <c r="B124" s="10" t="s">
        <v>563</v>
      </c>
      <c r="C124" s="10" t="s">
        <v>489</v>
      </c>
      <c r="D124" s="10" t="s">
        <v>327</v>
      </c>
      <c r="E124" s="10" t="s">
        <v>53</v>
      </c>
      <c r="F124" s="10" t="s">
        <v>251</v>
      </c>
      <c r="G124" s="10"/>
      <c r="H124" s="10" t="s">
        <v>159</v>
      </c>
      <c r="I124" s="10" t="s">
        <v>58</v>
      </c>
      <c r="J124" s="10" t="n">
        <v>3</v>
      </c>
      <c r="K124" s="13" t="s">
        <v>68</v>
      </c>
      <c r="L124" s="13" t="s">
        <v>31</v>
      </c>
      <c r="M124" s="13"/>
      <c r="N124" s="13"/>
      <c r="O124" s="13"/>
      <c r="P124" s="14" t="s">
        <v>564</v>
      </c>
      <c r="Q124" s="15" t="s">
        <v>60</v>
      </c>
      <c r="R124" s="14" t="s">
        <v>61</v>
      </c>
    </row>
    <row r="125" customFormat="false" ht="42" hidden="false" customHeight="true" outlineLevel="0" collapsed="false">
      <c r="A125" s="16" t="n">
        <v>124</v>
      </c>
      <c r="B125" s="16" t="s">
        <v>565</v>
      </c>
      <c r="C125" s="16" t="s">
        <v>489</v>
      </c>
      <c r="D125" s="16" t="s">
        <v>327</v>
      </c>
      <c r="E125" s="16" t="s">
        <v>53</v>
      </c>
      <c r="F125" s="16" t="s">
        <v>251</v>
      </c>
      <c r="G125" s="16"/>
      <c r="H125" s="16" t="s">
        <v>159</v>
      </c>
      <c r="I125" s="16" t="s">
        <v>58</v>
      </c>
      <c r="J125" s="16" t="n">
        <v>3</v>
      </c>
      <c r="K125" s="17" t="s">
        <v>68</v>
      </c>
      <c r="L125" s="17" t="s">
        <v>31</v>
      </c>
      <c r="M125" s="17"/>
      <c r="N125" s="17"/>
      <c r="O125" s="17"/>
      <c r="P125" s="18" t="s">
        <v>566</v>
      </c>
      <c r="Q125" s="16" t="s">
        <v>76</v>
      </c>
      <c r="R125" s="18" t="s">
        <v>61</v>
      </c>
    </row>
    <row r="126" customFormat="false" ht="42" hidden="false" customHeight="true" outlineLevel="0" collapsed="false">
      <c r="A126" s="10" t="n">
        <v>125</v>
      </c>
      <c r="B126" s="10" t="s">
        <v>567</v>
      </c>
      <c r="C126" s="10" t="s">
        <v>489</v>
      </c>
      <c r="D126" s="10" t="s">
        <v>230</v>
      </c>
      <c r="E126" s="10" t="s">
        <v>53</v>
      </c>
      <c r="F126" s="10" t="s">
        <v>251</v>
      </c>
      <c r="G126" s="10"/>
      <c r="H126" s="10" t="s">
        <v>159</v>
      </c>
      <c r="I126" s="10" t="s">
        <v>58</v>
      </c>
      <c r="J126" s="10" t="n">
        <v>3</v>
      </c>
      <c r="K126" s="13" t="s">
        <v>68</v>
      </c>
      <c r="L126" s="13" t="s">
        <v>31</v>
      </c>
      <c r="M126" s="13"/>
      <c r="N126" s="13"/>
      <c r="O126" s="13"/>
      <c r="P126" s="14" t="s">
        <v>568</v>
      </c>
      <c r="Q126" s="10" t="s">
        <v>76</v>
      </c>
      <c r="R126" s="14" t="s">
        <v>61</v>
      </c>
    </row>
    <row r="127" customFormat="false" ht="42" hidden="false" customHeight="true" outlineLevel="0" collapsed="false">
      <c r="A127" s="16" t="n">
        <v>126</v>
      </c>
      <c r="B127" s="16" t="s">
        <v>569</v>
      </c>
      <c r="C127" s="16" t="s">
        <v>489</v>
      </c>
      <c r="D127" s="16" t="s">
        <v>327</v>
      </c>
      <c r="E127" s="16" t="s">
        <v>53</v>
      </c>
      <c r="F127" s="16" t="s">
        <v>251</v>
      </c>
      <c r="G127" s="16" t="s">
        <v>570</v>
      </c>
      <c r="H127" s="16" t="s">
        <v>129</v>
      </c>
      <c r="I127" s="16" t="s">
        <v>58</v>
      </c>
      <c r="J127" s="16" t="n">
        <v>3</v>
      </c>
      <c r="K127" s="17" t="s">
        <v>68</v>
      </c>
      <c r="L127" s="17" t="s">
        <v>31</v>
      </c>
      <c r="M127" s="17"/>
      <c r="N127" s="17"/>
      <c r="O127" s="17"/>
      <c r="P127" s="18" t="s">
        <v>571</v>
      </c>
      <c r="Q127" s="16" t="s">
        <v>76</v>
      </c>
      <c r="R127" s="18" t="s">
        <v>61</v>
      </c>
    </row>
    <row r="128" customFormat="false" ht="42" hidden="false" customHeight="true" outlineLevel="0" collapsed="false">
      <c r="A128" s="10" t="n">
        <v>127</v>
      </c>
      <c r="B128" s="10" t="s">
        <v>572</v>
      </c>
      <c r="C128" s="10" t="s">
        <v>489</v>
      </c>
      <c r="D128" s="10" t="s">
        <v>230</v>
      </c>
      <c r="E128" s="10" t="s">
        <v>573</v>
      </c>
      <c r="F128" s="10" t="s">
        <v>251</v>
      </c>
      <c r="G128" s="10" t="s">
        <v>574</v>
      </c>
      <c r="H128" s="10" t="s">
        <v>159</v>
      </c>
      <c r="I128" s="10" t="s">
        <v>58</v>
      </c>
      <c r="J128" s="10" t="n">
        <v>3</v>
      </c>
      <c r="K128" s="13" t="s">
        <v>58</v>
      </c>
      <c r="L128" s="13" t="s">
        <v>31</v>
      </c>
      <c r="M128" s="13"/>
      <c r="N128" s="13"/>
      <c r="O128" s="13"/>
      <c r="P128" s="14" t="s">
        <v>575</v>
      </c>
      <c r="Q128" s="15" t="s">
        <v>60</v>
      </c>
      <c r="R128" s="14" t="s">
        <v>61</v>
      </c>
    </row>
    <row r="129" customFormat="false" ht="42" hidden="false" customHeight="true" outlineLevel="0" collapsed="false">
      <c r="A129" s="16" t="n">
        <v>128</v>
      </c>
      <c r="B129" s="16" t="s">
        <v>576</v>
      </c>
      <c r="C129" s="16" t="s">
        <v>489</v>
      </c>
      <c r="D129" s="16" t="s">
        <v>230</v>
      </c>
      <c r="E129" s="16" t="s">
        <v>573</v>
      </c>
      <c r="F129" s="16" t="s">
        <v>251</v>
      </c>
      <c r="G129" s="16" t="s">
        <v>577</v>
      </c>
      <c r="H129" s="16" t="s">
        <v>273</v>
      </c>
      <c r="I129" s="16" t="s">
        <v>58</v>
      </c>
      <c r="J129" s="16" t="n">
        <v>3</v>
      </c>
      <c r="K129" s="17" t="s">
        <v>58</v>
      </c>
      <c r="L129" s="17" t="s">
        <v>31</v>
      </c>
      <c r="M129" s="17"/>
      <c r="N129" s="17"/>
      <c r="O129" s="17"/>
      <c r="P129" s="18" t="s">
        <v>578</v>
      </c>
      <c r="Q129" s="15" t="s">
        <v>60</v>
      </c>
      <c r="R129" s="18" t="s">
        <v>61</v>
      </c>
    </row>
    <row r="130" customFormat="false" ht="42" hidden="false" customHeight="true" outlineLevel="0" collapsed="false">
      <c r="A130" s="10" t="n">
        <v>129</v>
      </c>
      <c r="B130" s="10" t="s">
        <v>579</v>
      </c>
      <c r="C130" s="10" t="s">
        <v>489</v>
      </c>
      <c r="D130" s="10" t="s">
        <v>542</v>
      </c>
      <c r="E130" s="10" t="s">
        <v>53</v>
      </c>
      <c r="F130" s="10" t="s">
        <v>580</v>
      </c>
      <c r="G130" s="10" t="s">
        <v>581</v>
      </c>
      <c r="H130" s="10" t="s">
        <v>87</v>
      </c>
      <c r="I130" s="10" t="s">
        <v>58</v>
      </c>
      <c r="J130" s="10" t="n">
        <v>3</v>
      </c>
      <c r="K130" s="13" t="s">
        <v>58</v>
      </c>
      <c r="L130" s="13" t="s">
        <v>31</v>
      </c>
      <c r="M130" s="13"/>
      <c r="N130" s="13"/>
      <c r="O130" s="13"/>
      <c r="P130" s="14" t="s">
        <v>582</v>
      </c>
      <c r="Q130" s="15" t="s">
        <v>60</v>
      </c>
      <c r="R130" s="14" t="s">
        <v>61</v>
      </c>
    </row>
    <row r="131" customFormat="false" ht="42" hidden="false" customHeight="true" outlineLevel="0" collapsed="false">
      <c r="A131" s="16" t="n">
        <v>130</v>
      </c>
      <c r="B131" s="19" t="s">
        <v>583</v>
      </c>
      <c r="C131" s="16" t="s">
        <v>584</v>
      </c>
      <c r="D131" s="16" t="s">
        <v>585</v>
      </c>
      <c r="E131" s="16" t="s">
        <v>53</v>
      </c>
      <c r="F131" s="16" t="s">
        <v>586</v>
      </c>
      <c r="G131" s="16" t="s">
        <v>587</v>
      </c>
      <c r="H131" s="16" t="s">
        <v>206</v>
      </c>
      <c r="I131" s="16" t="s">
        <v>58</v>
      </c>
      <c r="J131" s="12" t="n">
        <v>1</v>
      </c>
      <c r="K131" s="17" t="s">
        <v>68</v>
      </c>
      <c r="L131" s="17" t="s">
        <v>31</v>
      </c>
      <c r="M131" s="17"/>
      <c r="N131" s="17"/>
      <c r="O131" s="17"/>
      <c r="P131" s="18" t="s">
        <v>588</v>
      </c>
      <c r="Q131" s="16" t="s">
        <v>76</v>
      </c>
      <c r="R131" s="18" t="s">
        <v>61</v>
      </c>
    </row>
    <row r="132" customFormat="false" ht="42" hidden="false" customHeight="true" outlineLevel="0" collapsed="false">
      <c r="A132" s="10" t="n">
        <v>131</v>
      </c>
      <c r="B132" s="11" t="s">
        <v>589</v>
      </c>
      <c r="C132" s="10" t="s">
        <v>584</v>
      </c>
      <c r="D132" s="10" t="s">
        <v>590</v>
      </c>
      <c r="E132" s="10" t="s">
        <v>591</v>
      </c>
      <c r="F132" s="10" t="s">
        <v>592</v>
      </c>
      <c r="G132" s="10" t="s">
        <v>593</v>
      </c>
      <c r="H132" s="10" t="s">
        <v>129</v>
      </c>
      <c r="I132" s="10" t="s">
        <v>594</v>
      </c>
      <c r="J132" s="12" t="n">
        <v>1</v>
      </c>
      <c r="K132" s="13" t="s">
        <v>68</v>
      </c>
      <c r="L132" s="13" t="s">
        <v>31</v>
      </c>
      <c r="M132" s="13"/>
      <c r="N132" s="13"/>
      <c r="O132" s="13"/>
      <c r="P132" s="14" t="s">
        <v>595</v>
      </c>
      <c r="Q132" s="10" t="s">
        <v>76</v>
      </c>
      <c r="R132" s="14" t="s">
        <v>61</v>
      </c>
    </row>
    <row r="133" customFormat="false" ht="42" hidden="false" customHeight="true" outlineLevel="0" collapsed="false">
      <c r="A133" s="16" t="n">
        <v>132</v>
      </c>
      <c r="B133" s="19" t="s">
        <v>596</v>
      </c>
      <c r="C133" s="16" t="s">
        <v>584</v>
      </c>
      <c r="D133" s="16" t="s">
        <v>597</v>
      </c>
      <c r="E133" s="16" t="s">
        <v>53</v>
      </c>
      <c r="F133" s="16" t="s">
        <v>241</v>
      </c>
      <c r="G133" s="16" t="s">
        <v>598</v>
      </c>
      <c r="H133" s="16" t="s">
        <v>206</v>
      </c>
      <c r="I133" s="16" t="s">
        <v>58</v>
      </c>
      <c r="J133" s="12" t="n">
        <v>1</v>
      </c>
      <c r="K133" s="17" t="s">
        <v>68</v>
      </c>
      <c r="L133" s="17" t="s">
        <v>31</v>
      </c>
      <c r="M133" s="17"/>
      <c r="N133" s="17"/>
      <c r="O133" s="17"/>
      <c r="P133" s="18" t="s">
        <v>599</v>
      </c>
      <c r="Q133" s="16" t="s">
        <v>76</v>
      </c>
      <c r="R133" s="18" t="s">
        <v>61</v>
      </c>
    </row>
    <row r="134" customFormat="false" ht="42" hidden="false" customHeight="true" outlineLevel="0" collapsed="false">
      <c r="A134" s="10" t="n">
        <v>133</v>
      </c>
      <c r="B134" s="10" t="s">
        <v>600</v>
      </c>
      <c r="C134" s="10" t="s">
        <v>584</v>
      </c>
      <c r="D134" s="10" t="s">
        <v>601</v>
      </c>
      <c r="E134" s="10" t="s">
        <v>53</v>
      </c>
      <c r="F134" s="10" t="s">
        <v>602</v>
      </c>
      <c r="G134" s="10"/>
      <c r="H134" s="10" t="s">
        <v>253</v>
      </c>
      <c r="I134" s="10" t="s">
        <v>58</v>
      </c>
      <c r="J134" s="10" t="n">
        <v>2</v>
      </c>
      <c r="K134" s="13" t="s">
        <v>58</v>
      </c>
      <c r="L134" s="13" t="s">
        <v>31</v>
      </c>
      <c r="M134" s="13"/>
      <c r="N134" s="13"/>
      <c r="O134" s="13"/>
      <c r="P134" s="14" t="s">
        <v>603</v>
      </c>
      <c r="Q134" s="10" t="s">
        <v>76</v>
      </c>
      <c r="R134" s="14" t="s">
        <v>61</v>
      </c>
    </row>
    <row r="135" customFormat="false" ht="42" hidden="false" customHeight="true" outlineLevel="0" collapsed="false">
      <c r="A135" s="16" t="n">
        <v>134</v>
      </c>
      <c r="B135" s="16" t="s">
        <v>604</v>
      </c>
      <c r="C135" s="16" t="s">
        <v>584</v>
      </c>
      <c r="D135" s="16" t="s">
        <v>597</v>
      </c>
      <c r="E135" s="16" t="s">
        <v>53</v>
      </c>
      <c r="F135" s="16" t="s">
        <v>605</v>
      </c>
      <c r="G135" s="16" t="s">
        <v>606</v>
      </c>
      <c r="H135" s="16" t="s">
        <v>273</v>
      </c>
      <c r="I135" s="16" t="s">
        <v>58</v>
      </c>
      <c r="J135" s="16" t="n">
        <v>2</v>
      </c>
      <c r="K135" s="17" t="s">
        <v>58</v>
      </c>
      <c r="L135" s="17" t="s">
        <v>31</v>
      </c>
      <c r="M135" s="17"/>
      <c r="N135" s="17"/>
      <c r="O135" s="17"/>
      <c r="P135" s="18" t="s">
        <v>607</v>
      </c>
      <c r="Q135" s="15" t="s">
        <v>60</v>
      </c>
      <c r="R135" s="18" t="s">
        <v>61</v>
      </c>
    </row>
    <row r="136" customFormat="false" ht="42" hidden="false" customHeight="true" outlineLevel="0" collapsed="false">
      <c r="A136" s="10" t="n">
        <v>135</v>
      </c>
      <c r="B136" s="10" t="s">
        <v>608</v>
      </c>
      <c r="C136" s="10" t="s">
        <v>584</v>
      </c>
      <c r="D136" s="10" t="s">
        <v>597</v>
      </c>
      <c r="E136" s="10" t="s">
        <v>53</v>
      </c>
      <c r="F136" s="10" t="s">
        <v>295</v>
      </c>
      <c r="G136" s="10" t="s">
        <v>609</v>
      </c>
      <c r="H136" s="10" t="s">
        <v>273</v>
      </c>
      <c r="I136" s="10" t="s">
        <v>58</v>
      </c>
      <c r="J136" s="10" t="n">
        <v>2</v>
      </c>
      <c r="K136" s="13" t="s">
        <v>68</v>
      </c>
      <c r="L136" s="13" t="s">
        <v>31</v>
      </c>
      <c r="M136" s="13"/>
      <c r="N136" s="13"/>
      <c r="O136" s="13"/>
      <c r="P136" s="14" t="s">
        <v>610</v>
      </c>
      <c r="Q136" s="15" t="s">
        <v>60</v>
      </c>
      <c r="R136" s="14" t="s">
        <v>61</v>
      </c>
    </row>
    <row r="137" customFormat="false" ht="42" hidden="false" customHeight="true" outlineLevel="0" collapsed="false">
      <c r="A137" s="16" t="n">
        <v>136</v>
      </c>
      <c r="B137" s="16" t="s">
        <v>611</v>
      </c>
      <c r="C137" s="16" t="s">
        <v>584</v>
      </c>
      <c r="D137" s="16" t="s">
        <v>597</v>
      </c>
      <c r="E137" s="16" t="s">
        <v>53</v>
      </c>
      <c r="F137" s="16" t="s">
        <v>612</v>
      </c>
      <c r="G137" s="16" t="s">
        <v>613</v>
      </c>
      <c r="H137" s="16" t="s">
        <v>273</v>
      </c>
      <c r="I137" s="16" t="s">
        <v>58</v>
      </c>
      <c r="J137" s="16" t="n">
        <v>2</v>
      </c>
      <c r="K137" s="17" t="s">
        <v>68</v>
      </c>
      <c r="L137" s="17" t="s">
        <v>31</v>
      </c>
      <c r="M137" s="17"/>
      <c r="N137" s="17"/>
      <c r="O137" s="17"/>
      <c r="P137" s="18" t="s">
        <v>614</v>
      </c>
      <c r="Q137" s="16" t="s">
        <v>76</v>
      </c>
      <c r="R137" s="18" t="s">
        <v>61</v>
      </c>
    </row>
    <row r="138" customFormat="false" ht="42" hidden="false" customHeight="true" outlineLevel="0" collapsed="false">
      <c r="A138" s="10" t="n">
        <v>137</v>
      </c>
      <c r="B138" s="10" t="s">
        <v>615</v>
      </c>
      <c r="C138" s="10" t="s">
        <v>584</v>
      </c>
      <c r="D138" s="10" t="s">
        <v>597</v>
      </c>
      <c r="E138" s="10" t="s">
        <v>53</v>
      </c>
      <c r="F138" s="10" t="s">
        <v>295</v>
      </c>
      <c r="G138" s="10" t="s">
        <v>616</v>
      </c>
      <c r="H138" s="10" t="s">
        <v>273</v>
      </c>
      <c r="I138" s="10" t="s">
        <v>58</v>
      </c>
      <c r="J138" s="10" t="n">
        <v>2</v>
      </c>
      <c r="K138" s="13" t="s">
        <v>68</v>
      </c>
      <c r="L138" s="13" t="s">
        <v>31</v>
      </c>
      <c r="M138" s="13"/>
      <c r="N138" s="13"/>
      <c r="O138" s="13"/>
      <c r="P138" s="14" t="s">
        <v>617</v>
      </c>
      <c r="Q138" s="10" t="s">
        <v>76</v>
      </c>
      <c r="R138" s="14" t="s">
        <v>61</v>
      </c>
    </row>
    <row r="139" customFormat="false" ht="42" hidden="false" customHeight="true" outlineLevel="0" collapsed="false">
      <c r="A139" s="16" t="n">
        <v>138</v>
      </c>
      <c r="B139" s="16" t="s">
        <v>618</v>
      </c>
      <c r="C139" s="16" t="s">
        <v>584</v>
      </c>
      <c r="D139" s="16" t="s">
        <v>597</v>
      </c>
      <c r="E139" s="16" t="s">
        <v>53</v>
      </c>
      <c r="F139" s="16" t="s">
        <v>619</v>
      </c>
      <c r="G139" s="16" t="s">
        <v>620</v>
      </c>
      <c r="H139" s="16" t="s">
        <v>339</v>
      </c>
      <c r="I139" s="16" t="s">
        <v>58</v>
      </c>
      <c r="J139" s="16" t="n">
        <v>2</v>
      </c>
      <c r="K139" s="17" t="s">
        <v>68</v>
      </c>
      <c r="L139" s="17" t="s">
        <v>31</v>
      </c>
      <c r="M139" s="17"/>
      <c r="N139" s="17"/>
      <c r="O139" s="17"/>
      <c r="P139" s="18" t="s">
        <v>621</v>
      </c>
      <c r="Q139" s="16" t="s">
        <v>76</v>
      </c>
      <c r="R139" s="18" t="s">
        <v>61</v>
      </c>
    </row>
    <row r="140" customFormat="false" ht="42" hidden="false" customHeight="true" outlineLevel="0" collapsed="false">
      <c r="A140" s="10" t="n">
        <v>139</v>
      </c>
      <c r="B140" s="10" t="s">
        <v>622</v>
      </c>
      <c r="C140" s="10" t="s">
        <v>584</v>
      </c>
      <c r="D140" s="10" t="s">
        <v>590</v>
      </c>
      <c r="E140" s="10" t="s">
        <v>53</v>
      </c>
      <c r="F140" s="10" t="s">
        <v>251</v>
      </c>
      <c r="G140" s="10"/>
      <c r="H140" s="10" t="s">
        <v>145</v>
      </c>
      <c r="I140" s="10" t="s">
        <v>58</v>
      </c>
      <c r="J140" s="10" t="n">
        <v>3</v>
      </c>
      <c r="K140" s="13" t="s">
        <v>58</v>
      </c>
      <c r="L140" s="13" t="s">
        <v>31</v>
      </c>
      <c r="M140" s="13"/>
      <c r="N140" s="13"/>
      <c r="O140" s="13"/>
      <c r="P140" s="14" t="s">
        <v>623</v>
      </c>
      <c r="Q140" s="10" t="s">
        <v>76</v>
      </c>
      <c r="R140" s="14" t="s">
        <v>61</v>
      </c>
    </row>
    <row r="141" customFormat="false" ht="42" hidden="false" customHeight="true" outlineLevel="0" collapsed="false">
      <c r="A141" s="16" t="n">
        <v>140</v>
      </c>
      <c r="B141" s="16" t="s">
        <v>624</v>
      </c>
      <c r="C141" s="16" t="s">
        <v>584</v>
      </c>
      <c r="D141" s="16" t="s">
        <v>597</v>
      </c>
      <c r="E141" s="16" t="s">
        <v>53</v>
      </c>
      <c r="F141" s="16" t="s">
        <v>251</v>
      </c>
      <c r="G141" s="16" t="s">
        <v>625</v>
      </c>
      <c r="H141" s="16" t="s">
        <v>273</v>
      </c>
      <c r="I141" s="16" t="s">
        <v>58</v>
      </c>
      <c r="J141" s="16" t="n">
        <v>3</v>
      </c>
      <c r="K141" s="17" t="s">
        <v>58</v>
      </c>
      <c r="L141" s="17" t="s">
        <v>31</v>
      </c>
      <c r="M141" s="17"/>
      <c r="N141" s="17"/>
      <c r="O141" s="17"/>
      <c r="P141" s="18" t="s">
        <v>626</v>
      </c>
      <c r="Q141" s="16" t="s">
        <v>76</v>
      </c>
      <c r="R141" s="18" t="s">
        <v>61</v>
      </c>
    </row>
    <row r="142" customFormat="false" ht="42" hidden="false" customHeight="true" outlineLevel="0" collapsed="false">
      <c r="A142" s="10" t="n">
        <v>141</v>
      </c>
      <c r="B142" s="10" t="s">
        <v>627</v>
      </c>
      <c r="C142" s="10" t="s">
        <v>584</v>
      </c>
      <c r="D142" s="10" t="s">
        <v>601</v>
      </c>
      <c r="E142" s="10" t="s">
        <v>53</v>
      </c>
      <c r="F142" s="10" t="s">
        <v>251</v>
      </c>
      <c r="G142" s="10"/>
      <c r="H142" s="10" t="s">
        <v>253</v>
      </c>
      <c r="I142" s="10" t="s">
        <v>58</v>
      </c>
      <c r="J142" s="10" t="n">
        <v>3</v>
      </c>
      <c r="K142" s="13" t="s">
        <v>58</v>
      </c>
      <c r="L142" s="13" t="s">
        <v>31</v>
      </c>
      <c r="M142" s="13"/>
      <c r="N142" s="13"/>
      <c r="O142" s="13"/>
      <c r="P142" s="14" t="s">
        <v>628</v>
      </c>
      <c r="Q142" s="10" t="s">
        <v>76</v>
      </c>
      <c r="R142" s="14" t="s">
        <v>61</v>
      </c>
    </row>
    <row r="143" customFormat="false" ht="42" hidden="false" customHeight="true" outlineLevel="0" collapsed="false">
      <c r="A143" s="16" t="n">
        <v>142</v>
      </c>
      <c r="B143" s="16" t="s">
        <v>629</v>
      </c>
      <c r="C143" s="16" t="s">
        <v>584</v>
      </c>
      <c r="D143" s="16" t="s">
        <v>597</v>
      </c>
      <c r="E143" s="16" t="s">
        <v>53</v>
      </c>
      <c r="F143" s="16" t="s">
        <v>612</v>
      </c>
      <c r="G143" s="16" t="s">
        <v>630</v>
      </c>
      <c r="H143" s="16" t="s">
        <v>206</v>
      </c>
      <c r="I143" s="16" t="s">
        <v>58</v>
      </c>
      <c r="J143" s="16" t="n">
        <v>3</v>
      </c>
      <c r="K143" s="17" t="s">
        <v>58</v>
      </c>
      <c r="L143" s="17" t="s">
        <v>31</v>
      </c>
      <c r="M143" s="17"/>
      <c r="N143" s="17"/>
      <c r="O143" s="17"/>
      <c r="P143" s="18" t="s">
        <v>631</v>
      </c>
      <c r="Q143" s="15" t="s">
        <v>60</v>
      </c>
      <c r="R143" s="18" t="s">
        <v>61</v>
      </c>
    </row>
    <row r="144" customFormat="false" ht="42" hidden="false" customHeight="true" outlineLevel="0" collapsed="false">
      <c r="A144" s="10" t="n">
        <v>143</v>
      </c>
      <c r="B144" s="10" t="s">
        <v>632</v>
      </c>
      <c r="C144" s="10" t="s">
        <v>584</v>
      </c>
      <c r="D144" s="10" t="s">
        <v>590</v>
      </c>
      <c r="E144" s="10" t="s">
        <v>591</v>
      </c>
      <c r="F144" s="10" t="s">
        <v>633</v>
      </c>
      <c r="G144" s="10" t="s">
        <v>634</v>
      </c>
      <c r="H144" s="10" t="s">
        <v>129</v>
      </c>
      <c r="I144" s="10" t="s">
        <v>68</v>
      </c>
      <c r="J144" s="10" t="n">
        <v>3</v>
      </c>
      <c r="K144" s="13" t="s">
        <v>68</v>
      </c>
      <c r="L144" s="13" t="s">
        <v>31</v>
      </c>
      <c r="M144" s="13"/>
      <c r="N144" s="13"/>
      <c r="O144" s="13"/>
      <c r="P144" s="14" t="s">
        <v>595</v>
      </c>
      <c r="Q144" s="10" t="s">
        <v>76</v>
      </c>
      <c r="R144" s="14" t="s">
        <v>61</v>
      </c>
    </row>
    <row r="145" customFormat="false" ht="42" hidden="false" customHeight="true" outlineLevel="0" collapsed="false">
      <c r="A145" s="16" t="n">
        <v>144</v>
      </c>
      <c r="B145" s="16" t="s">
        <v>635</v>
      </c>
      <c r="C145" s="16" t="s">
        <v>584</v>
      </c>
      <c r="D145" s="16" t="s">
        <v>597</v>
      </c>
      <c r="E145" s="16" t="s">
        <v>53</v>
      </c>
      <c r="F145" s="16" t="s">
        <v>251</v>
      </c>
      <c r="G145" s="16"/>
      <c r="H145" s="16" t="s">
        <v>273</v>
      </c>
      <c r="I145" s="16" t="s">
        <v>58</v>
      </c>
      <c r="J145" s="16" t="n">
        <v>3</v>
      </c>
      <c r="K145" s="17" t="s">
        <v>58</v>
      </c>
      <c r="L145" s="17" t="s">
        <v>31</v>
      </c>
      <c r="M145" s="17"/>
      <c r="N145" s="17"/>
      <c r="O145" s="17"/>
      <c r="P145" s="18" t="s">
        <v>636</v>
      </c>
      <c r="Q145" s="15" t="s">
        <v>60</v>
      </c>
      <c r="R145" s="18" t="s">
        <v>61</v>
      </c>
    </row>
    <row r="146" customFormat="false" ht="42" hidden="false" customHeight="true" outlineLevel="0" collapsed="false">
      <c r="A146" s="10" t="n">
        <v>145</v>
      </c>
      <c r="B146" s="10" t="s">
        <v>637</v>
      </c>
      <c r="C146" s="10" t="s">
        <v>584</v>
      </c>
      <c r="D146" s="10" t="s">
        <v>597</v>
      </c>
      <c r="E146" s="10" t="s">
        <v>53</v>
      </c>
      <c r="F146" s="10" t="s">
        <v>638</v>
      </c>
      <c r="G146" s="10" t="s">
        <v>639</v>
      </c>
      <c r="H146" s="10" t="s">
        <v>206</v>
      </c>
      <c r="I146" s="10" t="s">
        <v>58</v>
      </c>
      <c r="J146" s="10" t="n">
        <v>3</v>
      </c>
      <c r="K146" s="13" t="s">
        <v>58</v>
      </c>
      <c r="L146" s="13" t="s">
        <v>31</v>
      </c>
      <c r="M146" s="13"/>
      <c r="N146" s="13"/>
      <c r="O146" s="13"/>
      <c r="P146" s="14" t="s">
        <v>640</v>
      </c>
      <c r="Q146" s="10" t="s">
        <v>76</v>
      </c>
      <c r="R146" s="14" t="s">
        <v>61</v>
      </c>
    </row>
    <row r="147" customFormat="false" ht="42" hidden="false" customHeight="true" outlineLevel="0" collapsed="false">
      <c r="A147" s="16" t="n">
        <v>146</v>
      </c>
      <c r="B147" s="16" t="s">
        <v>641</v>
      </c>
      <c r="C147" s="16" t="s">
        <v>584</v>
      </c>
      <c r="D147" s="16" t="s">
        <v>597</v>
      </c>
      <c r="E147" s="16" t="s">
        <v>53</v>
      </c>
      <c r="F147" s="16" t="s">
        <v>295</v>
      </c>
      <c r="G147" s="16"/>
      <c r="H147" s="16" t="s">
        <v>273</v>
      </c>
      <c r="I147" s="16" t="s">
        <v>58</v>
      </c>
      <c r="J147" s="16" t="n">
        <v>3</v>
      </c>
      <c r="K147" s="17" t="s">
        <v>58</v>
      </c>
      <c r="L147" s="17" t="s">
        <v>31</v>
      </c>
      <c r="M147" s="17"/>
      <c r="N147" s="17"/>
      <c r="O147" s="17"/>
      <c r="P147" s="18" t="s">
        <v>642</v>
      </c>
      <c r="Q147" s="16" t="s">
        <v>76</v>
      </c>
      <c r="R147" s="18" t="s">
        <v>61</v>
      </c>
    </row>
    <row r="148" customFormat="false" ht="42" hidden="false" customHeight="true" outlineLevel="0" collapsed="false">
      <c r="A148" s="10" t="n">
        <v>147</v>
      </c>
      <c r="B148" s="10" t="s">
        <v>643</v>
      </c>
      <c r="C148" s="10" t="s">
        <v>584</v>
      </c>
      <c r="D148" s="10" t="s">
        <v>597</v>
      </c>
      <c r="E148" s="10" t="s">
        <v>53</v>
      </c>
      <c r="F148" s="10" t="s">
        <v>612</v>
      </c>
      <c r="G148" s="10"/>
      <c r="H148" s="10" t="s">
        <v>273</v>
      </c>
      <c r="I148" s="10" t="s">
        <v>58</v>
      </c>
      <c r="J148" s="10" t="n">
        <v>3</v>
      </c>
      <c r="K148" s="13" t="s">
        <v>68</v>
      </c>
      <c r="L148" s="13" t="s">
        <v>31</v>
      </c>
      <c r="M148" s="13"/>
      <c r="N148" s="13"/>
      <c r="O148" s="13"/>
      <c r="P148" s="14" t="s">
        <v>644</v>
      </c>
      <c r="Q148" s="10" t="s">
        <v>76</v>
      </c>
      <c r="R148" s="14" t="s">
        <v>61</v>
      </c>
    </row>
    <row r="149" customFormat="false" ht="42" hidden="false" customHeight="true" outlineLevel="0" collapsed="false">
      <c r="A149" s="16" t="n">
        <v>148</v>
      </c>
      <c r="B149" s="16" t="s">
        <v>645</v>
      </c>
      <c r="C149" s="16" t="s">
        <v>584</v>
      </c>
      <c r="D149" s="16" t="s">
        <v>646</v>
      </c>
      <c r="E149" s="16" t="s">
        <v>53</v>
      </c>
      <c r="F149" s="16" t="s">
        <v>612</v>
      </c>
      <c r="G149" s="16"/>
      <c r="H149" s="16" t="s">
        <v>276</v>
      </c>
      <c r="I149" s="16" t="s">
        <v>58</v>
      </c>
      <c r="J149" s="16" t="n">
        <v>3</v>
      </c>
      <c r="K149" s="17" t="s">
        <v>68</v>
      </c>
      <c r="L149" s="17" t="s">
        <v>31</v>
      </c>
      <c r="M149" s="17"/>
      <c r="N149" s="17"/>
      <c r="O149" s="17"/>
      <c r="P149" s="18" t="s">
        <v>647</v>
      </c>
      <c r="Q149" s="16" t="s">
        <v>76</v>
      </c>
      <c r="R149" s="18" t="s">
        <v>61</v>
      </c>
    </row>
    <row r="150" customFormat="false" ht="42" hidden="false" customHeight="true" outlineLevel="0" collapsed="false">
      <c r="A150" s="10" t="n">
        <v>149</v>
      </c>
      <c r="B150" s="11" t="s">
        <v>648</v>
      </c>
      <c r="C150" s="10" t="s">
        <v>649</v>
      </c>
      <c r="D150" s="10" t="s">
        <v>234</v>
      </c>
      <c r="E150" s="10" t="s">
        <v>53</v>
      </c>
      <c r="F150" s="10" t="s">
        <v>650</v>
      </c>
      <c r="G150" s="10" t="s">
        <v>651</v>
      </c>
      <c r="H150" s="10" t="s">
        <v>478</v>
      </c>
      <c r="I150" s="10" t="s">
        <v>58</v>
      </c>
      <c r="J150" s="12" t="n">
        <v>1</v>
      </c>
      <c r="K150" s="13" t="s">
        <v>68</v>
      </c>
      <c r="L150" s="13" t="s">
        <v>31</v>
      </c>
      <c r="M150" s="13"/>
      <c r="N150" s="13"/>
      <c r="O150" s="13"/>
      <c r="P150" s="14" t="s">
        <v>652</v>
      </c>
      <c r="Q150" s="15" t="s">
        <v>60</v>
      </c>
      <c r="R150" s="14" t="s">
        <v>61</v>
      </c>
    </row>
    <row r="151" customFormat="false" ht="42" hidden="false" customHeight="true" outlineLevel="0" collapsed="false">
      <c r="A151" s="16" t="n">
        <v>150</v>
      </c>
      <c r="B151" s="19" t="s">
        <v>653</v>
      </c>
      <c r="C151" s="16" t="s">
        <v>649</v>
      </c>
      <c r="D151" s="16" t="s">
        <v>654</v>
      </c>
      <c r="E151" s="16" t="s">
        <v>53</v>
      </c>
      <c r="F151" s="16" t="s">
        <v>655</v>
      </c>
      <c r="G151" s="16" t="s">
        <v>656</v>
      </c>
      <c r="H151" s="16" t="s">
        <v>273</v>
      </c>
      <c r="I151" s="16" t="s">
        <v>58</v>
      </c>
      <c r="J151" s="12" t="n">
        <v>1</v>
      </c>
      <c r="K151" s="17" t="s">
        <v>68</v>
      </c>
      <c r="L151" s="17" t="s">
        <v>31</v>
      </c>
      <c r="M151" s="17"/>
      <c r="N151" s="17"/>
      <c r="O151" s="17"/>
      <c r="P151" s="18" t="s">
        <v>657</v>
      </c>
      <c r="Q151" s="15" t="s">
        <v>60</v>
      </c>
      <c r="R151" s="18" t="s">
        <v>61</v>
      </c>
    </row>
    <row r="152" customFormat="false" ht="42" hidden="false" customHeight="true" outlineLevel="0" collapsed="false">
      <c r="A152" s="10" t="n">
        <v>151</v>
      </c>
      <c r="B152" s="11" t="s">
        <v>658</v>
      </c>
      <c r="C152" s="10" t="s">
        <v>649</v>
      </c>
      <c r="D152" s="10" t="s">
        <v>659</v>
      </c>
      <c r="E152" s="10" t="s">
        <v>53</v>
      </c>
      <c r="F152" s="10" t="s">
        <v>660</v>
      </c>
      <c r="G152" s="10" t="s">
        <v>661</v>
      </c>
      <c r="H152" s="10" t="s">
        <v>273</v>
      </c>
      <c r="I152" s="10" t="s">
        <v>662</v>
      </c>
      <c r="J152" s="12" t="n">
        <v>1</v>
      </c>
      <c r="K152" s="13" t="s">
        <v>68</v>
      </c>
      <c r="L152" s="13" t="s">
        <v>31</v>
      </c>
      <c r="M152" s="13"/>
      <c r="N152" s="13"/>
      <c r="O152" s="13"/>
      <c r="P152" s="14" t="s">
        <v>663</v>
      </c>
      <c r="Q152" s="15" t="s">
        <v>60</v>
      </c>
      <c r="R152" s="14" t="s">
        <v>61</v>
      </c>
    </row>
    <row r="153" customFormat="false" ht="42" hidden="false" customHeight="true" outlineLevel="0" collapsed="false">
      <c r="A153" s="16" t="n">
        <v>152</v>
      </c>
      <c r="B153" s="19" t="s">
        <v>664</v>
      </c>
      <c r="C153" s="16" t="s">
        <v>649</v>
      </c>
      <c r="D153" s="16" t="s">
        <v>302</v>
      </c>
      <c r="E153" s="16" t="s">
        <v>53</v>
      </c>
      <c r="F153" s="16" t="s">
        <v>221</v>
      </c>
      <c r="G153" s="16" t="s">
        <v>665</v>
      </c>
      <c r="H153" s="16" t="s">
        <v>253</v>
      </c>
      <c r="I153" s="16" t="s">
        <v>58</v>
      </c>
      <c r="J153" s="12" t="n">
        <v>1</v>
      </c>
      <c r="K153" s="17" t="s">
        <v>68</v>
      </c>
      <c r="L153" s="17" t="s">
        <v>31</v>
      </c>
      <c r="M153" s="17"/>
      <c r="N153" s="17"/>
      <c r="O153" s="17"/>
      <c r="P153" s="18" t="s">
        <v>666</v>
      </c>
      <c r="Q153" s="15" t="s">
        <v>60</v>
      </c>
      <c r="R153" s="18" t="s">
        <v>61</v>
      </c>
    </row>
    <row r="154" customFormat="false" ht="42" hidden="false" customHeight="true" outlineLevel="0" collapsed="false">
      <c r="A154" s="10" t="n">
        <v>153</v>
      </c>
      <c r="B154" s="11" t="s">
        <v>667</v>
      </c>
      <c r="C154" s="10" t="s">
        <v>649</v>
      </c>
      <c r="D154" s="10" t="s">
        <v>542</v>
      </c>
      <c r="E154" s="10" t="s">
        <v>53</v>
      </c>
      <c r="F154" s="10" t="s">
        <v>668</v>
      </c>
      <c r="G154" s="10" t="s">
        <v>669</v>
      </c>
      <c r="H154" s="10" t="s">
        <v>253</v>
      </c>
      <c r="I154" s="10" t="s">
        <v>58</v>
      </c>
      <c r="J154" s="12" t="n">
        <v>1</v>
      </c>
      <c r="K154" s="13" t="s">
        <v>58</v>
      </c>
      <c r="L154" s="13" t="s">
        <v>31</v>
      </c>
      <c r="M154" s="13"/>
      <c r="N154" s="13"/>
      <c r="O154" s="13"/>
      <c r="P154" s="14" t="s">
        <v>670</v>
      </c>
      <c r="Q154" s="15" t="s">
        <v>60</v>
      </c>
      <c r="R154" s="14" t="s">
        <v>61</v>
      </c>
    </row>
    <row r="155" customFormat="false" ht="42" hidden="false" customHeight="true" outlineLevel="0" collapsed="false">
      <c r="A155" s="16" t="n">
        <v>154</v>
      </c>
      <c r="B155" s="19" t="s">
        <v>671</v>
      </c>
      <c r="C155" s="16" t="s">
        <v>649</v>
      </c>
      <c r="D155" s="16" t="s">
        <v>659</v>
      </c>
      <c r="E155" s="16" t="s">
        <v>53</v>
      </c>
      <c r="F155" s="16" t="s">
        <v>672</v>
      </c>
      <c r="G155" s="16" t="s">
        <v>673</v>
      </c>
      <c r="H155" s="16" t="s">
        <v>273</v>
      </c>
      <c r="I155" s="16" t="s">
        <v>662</v>
      </c>
      <c r="J155" s="12" t="n">
        <v>1</v>
      </c>
      <c r="K155" s="17" t="s">
        <v>68</v>
      </c>
      <c r="L155" s="17" t="s">
        <v>31</v>
      </c>
      <c r="M155" s="17"/>
      <c r="N155" s="17"/>
      <c r="O155" s="17"/>
      <c r="P155" s="18" t="s">
        <v>674</v>
      </c>
      <c r="Q155" s="15" t="s">
        <v>60</v>
      </c>
      <c r="R155" s="18" t="s">
        <v>61</v>
      </c>
    </row>
    <row r="156" customFormat="false" ht="42" hidden="false" customHeight="true" outlineLevel="0" collapsed="false">
      <c r="A156" s="10" t="n">
        <v>155</v>
      </c>
      <c r="B156" s="11" t="s">
        <v>675</v>
      </c>
      <c r="C156" s="10" t="s">
        <v>649</v>
      </c>
      <c r="D156" s="10" t="s">
        <v>654</v>
      </c>
      <c r="E156" s="10" t="s">
        <v>53</v>
      </c>
      <c r="F156" s="10" t="s">
        <v>676</v>
      </c>
      <c r="G156" s="10" t="s">
        <v>677</v>
      </c>
      <c r="H156" s="10" t="s">
        <v>273</v>
      </c>
      <c r="I156" s="10" t="s">
        <v>58</v>
      </c>
      <c r="J156" s="12" t="n">
        <v>1</v>
      </c>
      <c r="K156" s="13" t="s">
        <v>68</v>
      </c>
      <c r="L156" s="13" t="s">
        <v>31</v>
      </c>
      <c r="M156" s="13"/>
      <c r="N156" s="13"/>
      <c r="O156" s="13"/>
      <c r="P156" s="14" t="s">
        <v>678</v>
      </c>
      <c r="Q156" s="15" t="s">
        <v>60</v>
      </c>
      <c r="R156" s="14" t="s">
        <v>61</v>
      </c>
    </row>
    <row r="157" customFormat="false" ht="42" hidden="false" customHeight="true" outlineLevel="0" collapsed="false">
      <c r="A157" s="16" t="n">
        <v>156</v>
      </c>
      <c r="B157" s="19" t="s">
        <v>679</v>
      </c>
      <c r="C157" s="16" t="s">
        <v>649</v>
      </c>
      <c r="D157" s="16" t="s">
        <v>230</v>
      </c>
      <c r="E157" s="16" t="s">
        <v>53</v>
      </c>
      <c r="F157" s="16" t="s">
        <v>295</v>
      </c>
      <c r="G157" s="16" t="s">
        <v>680</v>
      </c>
      <c r="H157" s="16" t="s">
        <v>273</v>
      </c>
      <c r="I157" s="16" t="s">
        <v>58</v>
      </c>
      <c r="J157" s="12" t="n">
        <v>1</v>
      </c>
      <c r="K157" s="17" t="s">
        <v>68</v>
      </c>
      <c r="L157" s="17" t="s">
        <v>31</v>
      </c>
      <c r="M157" s="17"/>
      <c r="N157" s="17"/>
      <c r="O157" s="17"/>
      <c r="P157" s="18" t="s">
        <v>681</v>
      </c>
      <c r="Q157" s="16" t="s">
        <v>76</v>
      </c>
      <c r="R157" s="18" t="s">
        <v>61</v>
      </c>
    </row>
    <row r="158" customFormat="false" ht="42" hidden="false" customHeight="true" outlineLevel="0" collapsed="false">
      <c r="A158" s="10" t="n">
        <v>157</v>
      </c>
      <c r="B158" s="11" t="s">
        <v>682</v>
      </c>
      <c r="C158" s="10" t="s">
        <v>649</v>
      </c>
      <c r="D158" s="10" t="s">
        <v>683</v>
      </c>
      <c r="E158" s="10" t="s">
        <v>53</v>
      </c>
      <c r="F158" s="10" t="s">
        <v>650</v>
      </c>
      <c r="G158" s="10" t="s">
        <v>684</v>
      </c>
      <c r="H158" s="10" t="s">
        <v>273</v>
      </c>
      <c r="I158" s="10" t="s">
        <v>58</v>
      </c>
      <c r="J158" s="12" t="n">
        <v>1</v>
      </c>
      <c r="K158" s="13" t="s">
        <v>58</v>
      </c>
      <c r="L158" s="13" t="s">
        <v>31</v>
      </c>
      <c r="M158" s="13"/>
      <c r="N158" s="13"/>
      <c r="O158" s="13"/>
      <c r="P158" s="14" t="s">
        <v>685</v>
      </c>
      <c r="Q158" s="10" t="s">
        <v>686</v>
      </c>
      <c r="R158" s="14" t="s">
        <v>61</v>
      </c>
    </row>
    <row r="159" customFormat="false" ht="42" hidden="false" customHeight="true" outlineLevel="0" collapsed="false">
      <c r="A159" s="16" t="n">
        <v>158</v>
      </c>
      <c r="B159" s="19" t="s">
        <v>687</v>
      </c>
      <c r="C159" s="16" t="s">
        <v>649</v>
      </c>
      <c r="D159" s="16" t="s">
        <v>234</v>
      </c>
      <c r="E159" s="16" t="s">
        <v>688</v>
      </c>
      <c r="F159" s="16" t="s">
        <v>235</v>
      </c>
      <c r="G159" s="16" t="s">
        <v>689</v>
      </c>
      <c r="H159" s="16" t="s">
        <v>478</v>
      </c>
      <c r="I159" s="16" t="s">
        <v>58</v>
      </c>
      <c r="J159" s="12" t="n">
        <v>1</v>
      </c>
      <c r="K159" s="17" t="s">
        <v>58</v>
      </c>
      <c r="L159" s="17" t="s">
        <v>31</v>
      </c>
      <c r="M159" s="17"/>
      <c r="N159" s="17"/>
      <c r="O159" s="17"/>
      <c r="P159" s="18" t="s">
        <v>690</v>
      </c>
      <c r="Q159" s="15" t="s">
        <v>60</v>
      </c>
      <c r="R159" s="18" t="s">
        <v>61</v>
      </c>
    </row>
    <row r="160" customFormat="false" ht="42" hidden="false" customHeight="true" outlineLevel="0" collapsed="false">
      <c r="A160" s="10" t="n">
        <v>159</v>
      </c>
      <c r="B160" s="11" t="s">
        <v>691</v>
      </c>
      <c r="C160" s="10" t="s">
        <v>649</v>
      </c>
      <c r="D160" s="10" t="s">
        <v>302</v>
      </c>
      <c r="E160" s="10" t="s">
        <v>53</v>
      </c>
      <c r="F160" s="10" t="s">
        <v>692</v>
      </c>
      <c r="G160" s="10" t="s">
        <v>693</v>
      </c>
      <c r="H160" s="10" t="s">
        <v>253</v>
      </c>
      <c r="I160" s="10" t="s">
        <v>58</v>
      </c>
      <c r="J160" s="12" t="n">
        <v>1</v>
      </c>
      <c r="K160" s="13" t="s">
        <v>58</v>
      </c>
      <c r="L160" s="13" t="s">
        <v>31</v>
      </c>
      <c r="M160" s="13"/>
      <c r="N160" s="13"/>
      <c r="O160" s="13"/>
      <c r="P160" s="14" t="s">
        <v>694</v>
      </c>
      <c r="Q160" s="15" t="s">
        <v>60</v>
      </c>
      <c r="R160" s="14" t="s">
        <v>61</v>
      </c>
    </row>
    <row r="161" customFormat="false" ht="42" hidden="false" customHeight="true" outlineLevel="0" collapsed="false">
      <c r="A161" s="16" t="n">
        <v>160</v>
      </c>
      <c r="B161" s="19" t="s">
        <v>695</v>
      </c>
      <c r="C161" s="16" t="s">
        <v>649</v>
      </c>
      <c r="D161" s="16" t="s">
        <v>51</v>
      </c>
      <c r="E161" s="16" t="s">
        <v>53</v>
      </c>
      <c r="F161" s="16" t="s">
        <v>696</v>
      </c>
      <c r="G161" s="16" t="s">
        <v>697</v>
      </c>
      <c r="H161" s="16" t="s">
        <v>253</v>
      </c>
      <c r="I161" s="16" t="s">
        <v>698</v>
      </c>
      <c r="J161" s="12" t="n">
        <v>1</v>
      </c>
      <c r="K161" s="17" t="s">
        <v>58</v>
      </c>
      <c r="L161" s="17" t="s">
        <v>31</v>
      </c>
      <c r="M161" s="17"/>
      <c r="N161" s="17"/>
      <c r="O161" s="17"/>
      <c r="P161" s="18" t="s">
        <v>699</v>
      </c>
      <c r="Q161" s="16" t="s">
        <v>76</v>
      </c>
      <c r="R161" s="18" t="s">
        <v>61</v>
      </c>
    </row>
    <row r="162" customFormat="false" ht="42" hidden="false" customHeight="true" outlineLevel="0" collapsed="false">
      <c r="A162" s="10" t="n">
        <v>161</v>
      </c>
      <c r="B162" s="10" t="s">
        <v>700</v>
      </c>
      <c r="C162" s="10" t="s">
        <v>649</v>
      </c>
      <c r="D162" s="10" t="s">
        <v>302</v>
      </c>
      <c r="E162" s="10" t="s">
        <v>53</v>
      </c>
      <c r="F162" s="10" t="s">
        <v>295</v>
      </c>
      <c r="G162" s="10" t="s">
        <v>701</v>
      </c>
      <c r="H162" s="10" t="s">
        <v>253</v>
      </c>
      <c r="I162" s="10" t="s">
        <v>58</v>
      </c>
      <c r="J162" s="10" t="n">
        <v>2</v>
      </c>
      <c r="K162" s="13" t="s">
        <v>58</v>
      </c>
      <c r="L162" s="13" t="s">
        <v>31</v>
      </c>
      <c r="M162" s="13"/>
      <c r="N162" s="13"/>
      <c r="O162" s="13"/>
      <c r="P162" s="14" t="s">
        <v>702</v>
      </c>
      <c r="Q162" s="15" t="s">
        <v>60</v>
      </c>
      <c r="R162" s="14" t="s">
        <v>61</v>
      </c>
    </row>
    <row r="163" customFormat="false" ht="42" hidden="false" customHeight="true" outlineLevel="0" collapsed="false">
      <c r="A163" s="16" t="n">
        <v>162</v>
      </c>
      <c r="B163" s="16" t="s">
        <v>703</v>
      </c>
      <c r="C163" s="16" t="s">
        <v>649</v>
      </c>
      <c r="D163" s="16" t="s">
        <v>584</v>
      </c>
      <c r="E163" s="16" t="s">
        <v>704</v>
      </c>
      <c r="F163" s="16" t="s">
        <v>235</v>
      </c>
      <c r="G163" s="16" t="s">
        <v>705</v>
      </c>
      <c r="H163" s="16" t="s">
        <v>216</v>
      </c>
      <c r="I163" s="16" t="s">
        <v>58</v>
      </c>
      <c r="J163" s="16" t="n">
        <v>2</v>
      </c>
      <c r="K163" s="17" t="s">
        <v>58</v>
      </c>
      <c r="L163" s="17" t="s">
        <v>31</v>
      </c>
      <c r="M163" s="17"/>
      <c r="N163" s="17"/>
      <c r="O163" s="17"/>
      <c r="P163" s="18" t="s">
        <v>706</v>
      </c>
      <c r="Q163" s="15" t="s">
        <v>60</v>
      </c>
      <c r="R163" s="18" t="s">
        <v>61</v>
      </c>
    </row>
    <row r="164" customFormat="false" ht="42" hidden="false" customHeight="true" outlineLevel="0" collapsed="false">
      <c r="A164" s="10" t="n">
        <v>163</v>
      </c>
      <c r="B164" s="10" t="s">
        <v>707</v>
      </c>
      <c r="C164" s="10" t="s">
        <v>649</v>
      </c>
      <c r="D164" s="10" t="s">
        <v>302</v>
      </c>
      <c r="E164" s="10" t="s">
        <v>142</v>
      </c>
      <c r="F164" s="10" t="s">
        <v>708</v>
      </c>
      <c r="G164" s="10" t="s">
        <v>709</v>
      </c>
      <c r="H164" s="10" t="s">
        <v>253</v>
      </c>
      <c r="I164" s="10" t="s">
        <v>58</v>
      </c>
      <c r="J164" s="10" t="n">
        <v>2</v>
      </c>
      <c r="K164" s="13" t="s">
        <v>58</v>
      </c>
      <c r="L164" s="13" t="s">
        <v>31</v>
      </c>
      <c r="M164" s="13"/>
      <c r="N164" s="13"/>
      <c r="O164" s="13"/>
      <c r="P164" s="14" t="s">
        <v>710</v>
      </c>
      <c r="Q164" s="15" t="s">
        <v>60</v>
      </c>
      <c r="R164" s="14" t="s">
        <v>61</v>
      </c>
    </row>
    <row r="165" customFormat="false" ht="42" hidden="false" customHeight="true" outlineLevel="0" collapsed="false">
      <c r="A165" s="16" t="n">
        <v>164</v>
      </c>
      <c r="B165" s="16" t="s">
        <v>711</v>
      </c>
      <c r="C165" s="16" t="s">
        <v>649</v>
      </c>
      <c r="D165" s="16" t="s">
        <v>234</v>
      </c>
      <c r="E165" s="16" t="s">
        <v>53</v>
      </c>
      <c r="F165" s="16" t="s">
        <v>712</v>
      </c>
      <c r="G165" s="16" t="s">
        <v>713</v>
      </c>
      <c r="H165" s="16" t="s">
        <v>478</v>
      </c>
      <c r="I165" s="16" t="s">
        <v>58</v>
      </c>
      <c r="J165" s="16" t="n">
        <v>2</v>
      </c>
      <c r="K165" s="17" t="s">
        <v>58</v>
      </c>
      <c r="L165" s="17" t="s">
        <v>31</v>
      </c>
      <c r="M165" s="17"/>
      <c r="N165" s="17"/>
      <c r="O165" s="17"/>
      <c r="P165" s="18" t="s">
        <v>714</v>
      </c>
      <c r="Q165" s="15" t="s">
        <v>60</v>
      </c>
      <c r="R165" s="18" t="s">
        <v>61</v>
      </c>
    </row>
    <row r="166" customFormat="false" ht="42" hidden="false" customHeight="true" outlineLevel="0" collapsed="false">
      <c r="A166" s="10" t="n">
        <v>165</v>
      </c>
      <c r="B166" s="10" t="s">
        <v>715</v>
      </c>
      <c r="C166" s="10" t="s">
        <v>649</v>
      </c>
      <c r="D166" s="10" t="s">
        <v>302</v>
      </c>
      <c r="E166" s="10" t="s">
        <v>716</v>
      </c>
      <c r="F166" s="10" t="s">
        <v>717</v>
      </c>
      <c r="G166" s="10" t="s">
        <v>718</v>
      </c>
      <c r="H166" s="10" t="s">
        <v>253</v>
      </c>
      <c r="I166" s="10" t="s">
        <v>58</v>
      </c>
      <c r="J166" s="10" t="n">
        <v>2</v>
      </c>
      <c r="K166" s="13" t="s">
        <v>58</v>
      </c>
      <c r="L166" s="13" t="s">
        <v>31</v>
      </c>
      <c r="M166" s="13"/>
      <c r="N166" s="13"/>
      <c r="O166" s="13"/>
      <c r="P166" s="14" t="s">
        <v>719</v>
      </c>
      <c r="Q166" s="15" t="s">
        <v>60</v>
      </c>
      <c r="R166" s="14" t="s">
        <v>61</v>
      </c>
    </row>
    <row r="167" customFormat="false" ht="42" hidden="false" customHeight="true" outlineLevel="0" collapsed="false">
      <c r="A167" s="16" t="n">
        <v>166</v>
      </c>
      <c r="B167" s="16" t="s">
        <v>720</v>
      </c>
      <c r="C167" s="16" t="s">
        <v>649</v>
      </c>
      <c r="D167" s="16" t="s">
        <v>721</v>
      </c>
      <c r="E167" s="16" t="s">
        <v>53</v>
      </c>
      <c r="F167" s="16" t="s">
        <v>722</v>
      </c>
      <c r="G167" s="16" t="s">
        <v>723</v>
      </c>
      <c r="H167" s="16" t="s">
        <v>273</v>
      </c>
      <c r="I167" s="16" t="s">
        <v>58</v>
      </c>
      <c r="J167" s="16" t="n">
        <v>2</v>
      </c>
      <c r="K167" s="17" t="s">
        <v>58</v>
      </c>
      <c r="L167" s="17" t="s">
        <v>31</v>
      </c>
      <c r="M167" s="17"/>
      <c r="N167" s="17"/>
      <c r="O167" s="17"/>
      <c r="P167" s="18" t="s">
        <v>724</v>
      </c>
      <c r="Q167" s="15" t="s">
        <v>60</v>
      </c>
      <c r="R167" s="18" t="s">
        <v>61</v>
      </c>
    </row>
    <row r="168" customFormat="false" ht="42" hidden="false" customHeight="true" outlineLevel="0" collapsed="false">
      <c r="A168" s="10" t="n">
        <v>167</v>
      </c>
      <c r="B168" s="10" t="s">
        <v>725</v>
      </c>
      <c r="C168" s="10" t="s">
        <v>649</v>
      </c>
      <c r="D168" s="10" t="s">
        <v>302</v>
      </c>
      <c r="E168" s="10" t="s">
        <v>726</v>
      </c>
      <c r="F168" s="10" t="s">
        <v>708</v>
      </c>
      <c r="G168" s="10" t="s">
        <v>727</v>
      </c>
      <c r="H168" s="10" t="s">
        <v>253</v>
      </c>
      <c r="I168" s="10" t="s">
        <v>58</v>
      </c>
      <c r="J168" s="10" t="n">
        <v>2</v>
      </c>
      <c r="K168" s="13" t="s">
        <v>58</v>
      </c>
      <c r="L168" s="13" t="s">
        <v>31</v>
      </c>
      <c r="M168" s="13"/>
      <c r="N168" s="13"/>
      <c r="O168" s="13"/>
      <c r="P168" s="14" t="s">
        <v>728</v>
      </c>
      <c r="Q168" s="15" t="s">
        <v>60</v>
      </c>
      <c r="R168" s="14" t="s">
        <v>61</v>
      </c>
    </row>
    <row r="169" customFormat="false" ht="42" hidden="false" customHeight="true" outlineLevel="0" collapsed="false">
      <c r="A169" s="16" t="n">
        <v>168</v>
      </c>
      <c r="B169" s="16" t="s">
        <v>729</v>
      </c>
      <c r="C169" s="16" t="s">
        <v>649</v>
      </c>
      <c r="D169" s="16" t="s">
        <v>659</v>
      </c>
      <c r="E169" s="16" t="s">
        <v>53</v>
      </c>
      <c r="F169" s="16" t="s">
        <v>730</v>
      </c>
      <c r="G169" s="16" t="s">
        <v>731</v>
      </c>
      <c r="H169" s="16" t="s">
        <v>732</v>
      </c>
      <c r="I169" s="16" t="s">
        <v>58</v>
      </c>
      <c r="J169" s="16" t="n">
        <v>2</v>
      </c>
      <c r="K169" s="17" t="s">
        <v>68</v>
      </c>
      <c r="L169" s="17" t="s">
        <v>31</v>
      </c>
      <c r="M169" s="17"/>
      <c r="N169" s="17"/>
      <c r="O169" s="17"/>
      <c r="P169" s="18" t="s">
        <v>733</v>
      </c>
      <c r="Q169" s="15" t="s">
        <v>60</v>
      </c>
      <c r="R169" s="18" t="s">
        <v>61</v>
      </c>
    </row>
    <row r="170" customFormat="false" ht="42" hidden="false" customHeight="true" outlineLevel="0" collapsed="false">
      <c r="A170" s="10" t="n">
        <v>169</v>
      </c>
      <c r="B170" s="10" t="s">
        <v>734</v>
      </c>
      <c r="C170" s="10" t="s">
        <v>649</v>
      </c>
      <c r="D170" s="10" t="s">
        <v>659</v>
      </c>
      <c r="E170" s="10" t="s">
        <v>53</v>
      </c>
      <c r="F170" s="10" t="s">
        <v>730</v>
      </c>
      <c r="G170" s="10" t="s">
        <v>735</v>
      </c>
      <c r="H170" s="10" t="s">
        <v>736</v>
      </c>
      <c r="I170" s="10" t="s">
        <v>58</v>
      </c>
      <c r="J170" s="10" t="n">
        <v>2</v>
      </c>
      <c r="K170" s="13" t="s">
        <v>68</v>
      </c>
      <c r="L170" s="13" t="s">
        <v>31</v>
      </c>
      <c r="M170" s="13"/>
      <c r="N170" s="13"/>
      <c r="O170" s="13"/>
      <c r="P170" s="14" t="s">
        <v>737</v>
      </c>
      <c r="Q170" s="15" t="s">
        <v>60</v>
      </c>
      <c r="R170" s="14" t="s">
        <v>61</v>
      </c>
    </row>
    <row r="171" customFormat="false" ht="42" hidden="false" customHeight="true" outlineLevel="0" collapsed="false">
      <c r="A171" s="16" t="n">
        <v>170</v>
      </c>
      <c r="B171" s="16" t="s">
        <v>738</v>
      </c>
      <c r="C171" s="16" t="s">
        <v>649</v>
      </c>
      <c r="D171" s="16" t="s">
        <v>659</v>
      </c>
      <c r="E171" s="16" t="s">
        <v>53</v>
      </c>
      <c r="F171" s="16" t="s">
        <v>730</v>
      </c>
      <c r="G171" s="16" t="s">
        <v>731</v>
      </c>
      <c r="H171" s="16" t="s">
        <v>732</v>
      </c>
      <c r="I171" s="16" t="s">
        <v>58</v>
      </c>
      <c r="J171" s="16" t="n">
        <v>2</v>
      </c>
      <c r="K171" s="17" t="s">
        <v>68</v>
      </c>
      <c r="L171" s="17" t="s">
        <v>31</v>
      </c>
      <c r="M171" s="17"/>
      <c r="N171" s="17"/>
      <c r="O171" s="17"/>
      <c r="P171" s="18" t="s">
        <v>739</v>
      </c>
      <c r="Q171" s="15" t="s">
        <v>60</v>
      </c>
      <c r="R171" s="18" t="s">
        <v>61</v>
      </c>
    </row>
    <row r="172" customFormat="false" ht="42" hidden="false" customHeight="true" outlineLevel="0" collapsed="false">
      <c r="A172" s="10" t="n">
        <v>171</v>
      </c>
      <c r="B172" s="10" t="s">
        <v>740</v>
      </c>
      <c r="C172" s="10" t="s">
        <v>649</v>
      </c>
      <c r="D172" s="10" t="s">
        <v>659</v>
      </c>
      <c r="E172" s="10" t="s">
        <v>53</v>
      </c>
      <c r="F172" s="10" t="s">
        <v>730</v>
      </c>
      <c r="G172" s="10" t="s">
        <v>741</v>
      </c>
      <c r="H172" s="10" t="s">
        <v>732</v>
      </c>
      <c r="I172" s="10" t="s">
        <v>58</v>
      </c>
      <c r="J172" s="10" t="n">
        <v>2</v>
      </c>
      <c r="K172" s="13" t="s">
        <v>68</v>
      </c>
      <c r="L172" s="13" t="s">
        <v>31</v>
      </c>
      <c r="M172" s="13"/>
      <c r="N172" s="13"/>
      <c r="O172" s="13"/>
      <c r="P172" s="14" t="s">
        <v>742</v>
      </c>
      <c r="Q172" s="15" t="s">
        <v>60</v>
      </c>
      <c r="R172" s="14" t="s">
        <v>61</v>
      </c>
    </row>
    <row r="173" customFormat="false" ht="42" hidden="false" customHeight="true" outlineLevel="0" collapsed="false">
      <c r="A173" s="16" t="n">
        <v>172</v>
      </c>
      <c r="B173" s="16" t="s">
        <v>743</v>
      </c>
      <c r="C173" s="16" t="s">
        <v>649</v>
      </c>
      <c r="D173" s="16" t="s">
        <v>659</v>
      </c>
      <c r="E173" s="16" t="s">
        <v>53</v>
      </c>
      <c r="F173" s="16" t="s">
        <v>730</v>
      </c>
      <c r="G173" s="16" t="s">
        <v>731</v>
      </c>
      <c r="H173" s="16" t="s">
        <v>732</v>
      </c>
      <c r="I173" s="16" t="s">
        <v>58</v>
      </c>
      <c r="J173" s="16" t="n">
        <v>2</v>
      </c>
      <c r="K173" s="17" t="s">
        <v>68</v>
      </c>
      <c r="L173" s="17" t="s">
        <v>31</v>
      </c>
      <c r="M173" s="17"/>
      <c r="N173" s="17"/>
      <c r="O173" s="17"/>
      <c r="P173" s="18" t="s">
        <v>744</v>
      </c>
      <c r="Q173" s="15" t="s">
        <v>60</v>
      </c>
      <c r="R173" s="18" t="s">
        <v>61</v>
      </c>
    </row>
    <row r="174" customFormat="false" ht="42" hidden="false" customHeight="true" outlineLevel="0" collapsed="false">
      <c r="A174" s="10" t="n">
        <v>173</v>
      </c>
      <c r="B174" s="10" t="s">
        <v>745</v>
      </c>
      <c r="C174" s="10" t="s">
        <v>649</v>
      </c>
      <c r="D174" s="10" t="s">
        <v>542</v>
      </c>
      <c r="E174" s="10" t="s">
        <v>53</v>
      </c>
      <c r="F174" s="10" t="s">
        <v>746</v>
      </c>
      <c r="G174" s="10" t="s">
        <v>747</v>
      </c>
      <c r="H174" s="10" t="s">
        <v>253</v>
      </c>
      <c r="I174" s="10" t="s">
        <v>58</v>
      </c>
      <c r="J174" s="10" t="n">
        <v>2</v>
      </c>
      <c r="K174" s="13" t="s">
        <v>58</v>
      </c>
      <c r="L174" s="13" t="s">
        <v>31</v>
      </c>
      <c r="M174" s="13"/>
      <c r="N174" s="13"/>
      <c r="O174" s="13"/>
      <c r="P174" s="14" t="s">
        <v>748</v>
      </c>
      <c r="Q174" s="15" t="s">
        <v>60</v>
      </c>
      <c r="R174" s="14" t="s">
        <v>61</v>
      </c>
    </row>
    <row r="175" customFormat="false" ht="42" hidden="false" customHeight="true" outlineLevel="0" collapsed="false">
      <c r="A175" s="16" t="n">
        <v>174</v>
      </c>
      <c r="B175" s="16" t="s">
        <v>749</v>
      </c>
      <c r="C175" s="16" t="s">
        <v>649</v>
      </c>
      <c r="D175" s="16" t="s">
        <v>234</v>
      </c>
      <c r="E175" s="16" t="s">
        <v>53</v>
      </c>
      <c r="F175" s="16" t="s">
        <v>750</v>
      </c>
      <c r="G175" s="16" t="s">
        <v>751</v>
      </c>
      <c r="H175" s="16" t="s">
        <v>478</v>
      </c>
      <c r="I175" s="16" t="s">
        <v>58</v>
      </c>
      <c r="J175" s="16" t="n">
        <v>2</v>
      </c>
      <c r="K175" s="17" t="s">
        <v>58</v>
      </c>
      <c r="L175" s="17" t="s">
        <v>31</v>
      </c>
      <c r="M175" s="17"/>
      <c r="N175" s="17"/>
      <c r="O175" s="17"/>
      <c r="P175" s="18" t="s">
        <v>752</v>
      </c>
      <c r="Q175" s="15" t="s">
        <v>60</v>
      </c>
      <c r="R175" s="18" t="s">
        <v>61</v>
      </c>
    </row>
    <row r="176" customFormat="false" ht="42" hidden="false" customHeight="true" outlineLevel="0" collapsed="false">
      <c r="A176" s="10" t="n">
        <v>175</v>
      </c>
      <c r="B176" s="10" t="s">
        <v>753</v>
      </c>
      <c r="C176" s="10" t="s">
        <v>649</v>
      </c>
      <c r="D176" s="10" t="s">
        <v>754</v>
      </c>
      <c r="E176" s="10" t="s">
        <v>755</v>
      </c>
      <c r="F176" s="10" t="s">
        <v>756</v>
      </c>
      <c r="G176" s="10" t="s">
        <v>757</v>
      </c>
      <c r="H176" s="10" t="s">
        <v>273</v>
      </c>
      <c r="I176" s="10" t="s">
        <v>58</v>
      </c>
      <c r="J176" s="10" t="n">
        <v>3</v>
      </c>
      <c r="K176" s="13" t="s">
        <v>58</v>
      </c>
      <c r="L176" s="13" t="s">
        <v>31</v>
      </c>
      <c r="M176" s="13"/>
      <c r="N176" s="13"/>
      <c r="O176" s="13"/>
      <c r="P176" s="14" t="s">
        <v>758</v>
      </c>
      <c r="Q176" s="10" t="s">
        <v>76</v>
      </c>
      <c r="R176" s="14" t="s">
        <v>61</v>
      </c>
    </row>
    <row r="177" customFormat="false" ht="42" hidden="false" customHeight="true" outlineLevel="0" collapsed="false">
      <c r="A177" s="16" t="n">
        <v>176</v>
      </c>
      <c r="B177" s="16" t="s">
        <v>759</v>
      </c>
      <c r="C177" s="16" t="s">
        <v>649</v>
      </c>
      <c r="D177" s="16" t="s">
        <v>754</v>
      </c>
      <c r="E177" s="16" t="s">
        <v>755</v>
      </c>
      <c r="F177" s="16" t="s">
        <v>756</v>
      </c>
      <c r="G177" s="16" t="s">
        <v>760</v>
      </c>
      <c r="H177" s="16" t="s">
        <v>273</v>
      </c>
      <c r="I177" s="16" t="s">
        <v>58</v>
      </c>
      <c r="J177" s="16" t="n">
        <v>3</v>
      </c>
      <c r="K177" s="17" t="s">
        <v>58</v>
      </c>
      <c r="L177" s="17" t="s">
        <v>31</v>
      </c>
      <c r="M177" s="17"/>
      <c r="N177" s="17"/>
      <c r="O177" s="17"/>
      <c r="P177" s="18" t="s">
        <v>761</v>
      </c>
      <c r="Q177" s="16" t="s">
        <v>76</v>
      </c>
      <c r="R177" s="18" t="s">
        <v>61</v>
      </c>
    </row>
    <row r="178" customFormat="false" ht="42" hidden="false" customHeight="true" outlineLevel="0" collapsed="false">
      <c r="A178" s="10" t="n">
        <v>177</v>
      </c>
      <c r="B178" s="10" t="s">
        <v>762</v>
      </c>
      <c r="C178" s="10" t="s">
        <v>649</v>
      </c>
      <c r="D178" s="10" t="s">
        <v>659</v>
      </c>
      <c r="E178" s="10" t="s">
        <v>53</v>
      </c>
      <c r="F178" s="10" t="s">
        <v>763</v>
      </c>
      <c r="G178" s="10" t="s">
        <v>764</v>
      </c>
      <c r="H178" s="10" t="s">
        <v>273</v>
      </c>
      <c r="I178" s="10" t="s">
        <v>202</v>
      </c>
      <c r="J178" s="10" t="n">
        <v>3</v>
      </c>
      <c r="K178" s="13" t="s">
        <v>68</v>
      </c>
      <c r="L178" s="13" t="s">
        <v>31</v>
      </c>
      <c r="M178" s="13"/>
      <c r="N178" s="13"/>
      <c r="O178" s="13"/>
      <c r="P178" s="14" t="s">
        <v>765</v>
      </c>
      <c r="Q178" s="10" t="s">
        <v>76</v>
      </c>
      <c r="R178" s="14" t="s">
        <v>61</v>
      </c>
    </row>
    <row r="179" customFormat="false" ht="42" hidden="false" customHeight="true" outlineLevel="0" collapsed="false">
      <c r="A179" s="16" t="n">
        <v>178</v>
      </c>
      <c r="B179" s="16" t="s">
        <v>766</v>
      </c>
      <c r="C179" s="16" t="s">
        <v>649</v>
      </c>
      <c r="D179" s="16" t="s">
        <v>234</v>
      </c>
      <c r="E179" s="16" t="s">
        <v>53</v>
      </c>
      <c r="F179" s="16" t="s">
        <v>241</v>
      </c>
      <c r="G179" s="16" t="s">
        <v>767</v>
      </c>
      <c r="H179" s="16" t="s">
        <v>269</v>
      </c>
      <c r="I179" s="16" t="s">
        <v>58</v>
      </c>
      <c r="J179" s="16" t="n">
        <v>3</v>
      </c>
      <c r="K179" s="17" t="s">
        <v>58</v>
      </c>
      <c r="L179" s="17" t="s">
        <v>31</v>
      </c>
      <c r="M179" s="17"/>
      <c r="N179" s="17"/>
      <c r="O179" s="17"/>
      <c r="P179" s="18" t="s">
        <v>768</v>
      </c>
      <c r="Q179" s="15" t="s">
        <v>60</v>
      </c>
      <c r="R179" s="18" t="s">
        <v>61</v>
      </c>
    </row>
    <row r="180" customFormat="false" ht="42" hidden="false" customHeight="true" outlineLevel="0" collapsed="false">
      <c r="A180" s="10" t="n">
        <v>179</v>
      </c>
      <c r="B180" s="10" t="s">
        <v>769</v>
      </c>
      <c r="C180" s="10" t="s">
        <v>649</v>
      </c>
      <c r="D180" s="10" t="s">
        <v>51</v>
      </c>
      <c r="E180" s="10" t="s">
        <v>53</v>
      </c>
      <c r="F180" s="10" t="s">
        <v>770</v>
      </c>
      <c r="G180" s="10" t="s">
        <v>771</v>
      </c>
      <c r="H180" s="10" t="s">
        <v>253</v>
      </c>
      <c r="I180" s="10" t="s">
        <v>698</v>
      </c>
      <c r="J180" s="10" t="n">
        <v>3</v>
      </c>
      <c r="K180" s="13" t="s">
        <v>58</v>
      </c>
      <c r="L180" s="13" t="s">
        <v>31</v>
      </c>
      <c r="M180" s="13"/>
      <c r="N180" s="13"/>
      <c r="O180" s="13"/>
      <c r="P180" s="14" t="s">
        <v>772</v>
      </c>
      <c r="Q180" s="10" t="s">
        <v>76</v>
      </c>
      <c r="R180" s="14" t="s">
        <v>61</v>
      </c>
    </row>
    <row r="181" customFormat="false" ht="42" hidden="false" customHeight="true" outlineLevel="0" collapsed="false">
      <c r="A181" s="16" t="n">
        <v>180</v>
      </c>
      <c r="B181" s="16" t="s">
        <v>773</v>
      </c>
      <c r="C181" s="16" t="s">
        <v>774</v>
      </c>
      <c r="D181" s="16" t="s">
        <v>775</v>
      </c>
      <c r="E181" s="16" t="s">
        <v>53</v>
      </c>
      <c r="F181" s="16" t="s">
        <v>776</v>
      </c>
      <c r="G181" s="16" t="s">
        <v>777</v>
      </c>
      <c r="H181" s="16" t="s">
        <v>243</v>
      </c>
      <c r="I181" s="16" t="s">
        <v>58</v>
      </c>
      <c r="J181" s="16" t="n">
        <v>2</v>
      </c>
      <c r="K181" s="17" t="s">
        <v>58</v>
      </c>
      <c r="L181" s="17" t="s">
        <v>31</v>
      </c>
      <c r="M181" s="17"/>
      <c r="N181" s="17"/>
      <c r="O181" s="17"/>
      <c r="P181" s="18" t="s">
        <v>778</v>
      </c>
      <c r="Q181" s="16" t="s">
        <v>76</v>
      </c>
      <c r="R181" s="18" t="s">
        <v>61</v>
      </c>
    </row>
    <row r="182" customFormat="false" ht="42" hidden="false" customHeight="true" outlineLevel="0" collapsed="false">
      <c r="A182" s="10" t="n">
        <v>181</v>
      </c>
      <c r="B182" s="10" t="s">
        <v>779</v>
      </c>
      <c r="C182" s="10" t="s">
        <v>774</v>
      </c>
      <c r="D182" s="10" t="s">
        <v>775</v>
      </c>
      <c r="E182" s="10" t="s">
        <v>53</v>
      </c>
      <c r="F182" s="10" t="s">
        <v>463</v>
      </c>
      <c r="G182" s="10" t="s">
        <v>780</v>
      </c>
      <c r="H182" s="10" t="s">
        <v>87</v>
      </c>
      <c r="I182" s="10" t="s">
        <v>58</v>
      </c>
      <c r="J182" s="10" t="n">
        <v>3</v>
      </c>
      <c r="K182" s="13" t="s">
        <v>58</v>
      </c>
      <c r="L182" s="13" t="s">
        <v>31</v>
      </c>
      <c r="M182" s="13"/>
      <c r="N182" s="13"/>
      <c r="O182" s="13"/>
      <c r="P182" s="14" t="s">
        <v>781</v>
      </c>
      <c r="Q182" s="15" t="s">
        <v>60</v>
      </c>
      <c r="R182" s="14" t="s">
        <v>61</v>
      </c>
    </row>
    <row r="183" customFormat="false" ht="42" hidden="false" customHeight="true" outlineLevel="0" collapsed="false">
      <c r="A183" s="16" t="n">
        <v>182</v>
      </c>
      <c r="B183" s="16" t="s">
        <v>782</v>
      </c>
      <c r="C183" s="16" t="s">
        <v>774</v>
      </c>
      <c r="D183" s="16" t="s">
        <v>783</v>
      </c>
      <c r="E183" s="16" t="s">
        <v>53</v>
      </c>
      <c r="F183" s="16" t="s">
        <v>784</v>
      </c>
      <c r="G183" s="16" t="s">
        <v>785</v>
      </c>
      <c r="H183" s="16" t="s">
        <v>66</v>
      </c>
      <c r="I183" s="16" t="s">
        <v>58</v>
      </c>
      <c r="J183" s="16" t="n">
        <v>3</v>
      </c>
      <c r="K183" s="17" t="s">
        <v>58</v>
      </c>
      <c r="L183" s="17" t="s">
        <v>31</v>
      </c>
      <c r="M183" s="17"/>
      <c r="N183" s="17"/>
      <c r="O183" s="17"/>
      <c r="P183" s="18" t="s">
        <v>786</v>
      </c>
      <c r="Q183" s="16" t="s">
        <v>76</v>
      </c>
      <c r="R183" s="18" t="s">
        <v>61</v>
      </c>
    </row>
    <row r="184" customFormat="false" ht="42" hidden="false" customHeight="true" outlineLevel="0" collapsed="false">
      <c r="A184" s="10" t="n">
        <v>183</v>
      </c>
      <c r="B184" s="10" t="s">
        <v>787</v>
      </c>
      <c r="C184" s="10" t="s">
        <v>774</v>
      </c>
      <c r="D184" s="10" t="s">
        <v>775</v>
      </c>
      <c r="E184" s="10" t="s">
        <v>53</v>
      </c>
      <c r="F184" s="10" t="s">
        <v>463</v>
      </c>
      <c r="G184" s="10" t="s">
        <v>788</v>
      </c>
      <c r="H184" s="10" t="s">
        <v>129</v>
      </c>
      <c r="I184" s="10" t="s">
        <v>58</v>
      </c>
      <c r="J184" s="10" t="n">
        <v>3</v>
      </c>
      <c r="K184" s="13" t="s">
        <v>58</v>
      </c>
      <c r="L184" s="13" t="s">
        <v>31</v>
      </c>
      <c r="M184" s="13"/>
      <c r="N184" s="13"/>
      <c r="O184" s="13"/>
      <c r="P184" s="14" t="s">
        <v>789</v>
      </c>
      <c r="Q184" s="10" t="s">
        <v>76</v>
      </c>
      <c r="R184" s="14" t="s">
        <v>61</v>
      </c>
    </row>
    <row r="185" customFormat="false" ht="42" hidden="false" customHeight="true" outlineLevel="0" collapsed="false">
      <c r="A185" s="16" t="n">
        <v>184</v>
      </c>
      <c r="B185" s="16" t="s">
        <v>790</v>
      </c>
      <c r="C185" s="16" t="s">
        <v>774</v>
      </c>
      <c r="D185" s="16" t="s">
        <v>775</v>
      </c>
      <c r="E185" s="16" t="s">
        <v>53</v>
      </c>
      <c r="F185" s="16" t="s">
        <v>791</v>
      </c>
      <c r="G185" s="16"/>
      <c r="H185" s="16" t="s">
        <v>159</v>
      </c>
      <c r="I185" s="16" t="s">
        <v>58</v>
      </c>
      <c r="J185" s="16" t="n">
        <v>3</v>
      </c>
      <c r="K185" s="17" t="s">
        <v>58</v>
      </c>
      <c r="L185" s="17" t="s">
        <v>31</v>
      </c>
      <c r="M185" s="17"/>
      <c r="N185" s="17"/>
      <c r="O185" s="17"/>
      <c r="P185" s="18" t="s">
        <v>792</v>
      </c>
      <c r="Q185" s="15" t="s">
        <v>60</v>
      </c>
      <c r="R185" s="18" t="s">
        <v>61</v>
      </c>
    </row>
    <row r="186" customFormat="false" ht="42" hidden="false" customHeight="true" outlineLevel="0" collapsed="false">
      <c r="A186" s="10" t="n">
        <v>185</v>
      </c>
      <c r="B186" s="10" t="s">
        <v>793</v>
      </c>
      <c r="C186" s="10" t="s">
        <v>774</v>
      </c>
      <c r="D186" s="10" t="s">
        <v>794</v>
      </c>
      <c r="E186" s="10" t="s">
        <v>53</v>
      </c>
      <c r="F186" s="10" t="s">
        <v>795</v>
      </c>
      <c r="G186" s="10" t="s">
        <v>796</v>
      </c>
      <c r="H186" s="10" t="s">
        <v>87</v>
      </c>
      <c r="I186" s="10" t="s">
        <v>81</v>
      </c>
      <c r="J186" s="10" t="n">
        <v>3</v>
      </c>
      <c r="K186" s="13" t="s">
        <v>58</v>
      </c>
      <c r="L186" s="13" t="s">
        <v>31</v>
      </c>
      <c r="M186" s="13"/>
      <c r="N186" s="13"/>
      <c r="O186" s="13"/>
      <c r="P186" s="14" t="s">
        <v>797</v>
      </c>
      <c r="Q186" s="10" t="s">
        <v>76</v>
      </c>
      <c r="R186" s="14" t="s">
        <v>61</v>
      </c>
    </row>
    <row r="187" customFormat="false" ht="42" hidden="false" customHeight="true" outlineLevel="0" collapsed="false">
      <c r="A187" s="16" t="n">
        <v>186</v>
      </c>
      <c r="B187" s="16" t="s">
        <v>798</v>
      </c>
      <c r="C187" s="16" t="s">
        <v>774</v>
      </c>
      <c r="D187" s="16" t="s">
        <v>775</v>
      </c>
      <c r="E187" s="16" t="s">
        <v>53</v>
      </c>
      <c r="F187" s="16" t="s">
        <v>463</v>
      </c>
      <c r="G187" s="16" t="s">
        <v>799</v>
      </c>
      <c r="H187" s="16" t="s">
        <v>129</v>
      </c>
      <c r="I187" s="16" t="s">
        <v>58</v>
      </c>
      <c r="J187" s="16" t="n">
        <v>3</v>
      </c>
      <c r="K187" s="17" t="s">
        <v>58</v>
      </c>
      <c r="L187" s="17" t="s">
        <v>31</v>
      </c>
      <c r="M187" s="17"/>
      <c r="N187" s="17"/>
      <c r="O187" s="17"/>
      <c r="P187" s="18" t="s">
        <v>800</v>
      </c>
      <c r="Q187" s="16" t="s">
        <v>76</v>
      </c>
      <c r="R187" s="18" t="s">
        <v>61</v>
      </c>
    </row>
    <row r="188" customFormat="false" ht="42" hidden="false" customHeight="true" outlineLevel="0" collapsed="false">
      <c r="A188" s="10" t="n">
        <v>187</v>
      </c>
      <c r="B188" s="10" t="s">
        <v>801</v>
      </c>
      <c r="C188" s="10" t="s">
        <v>774</v>
      </c>
      <c r="D188" s="10" t="s">
        <v>794</v>
      </c>
      <c r="E188" s="10" t="s">
        <v>53</v>
      </c>
      <c r="F188" s="10" t="s">
        <v>795</v>
      </c>
      <c r="G188" s="10" t="s">
        <v>802</v>
      </c>
      <c r="H188" s="10" t="s">
        <v>56</v>
      </c>
      <c r="I188" s="10" t="s">
        <v>81</v>
      </c>
      <c r="J188" s="10" t="n">
        <v>3</v>
      </c>
      <c r="K188" s="13" t="s">
        <v>58</v>
      </c>
      <c r="L188" s="13" t="s">
        <v>31</v>
      </c>
      <c r="M188" s="13"/>
      <c r="N188" s="13"/>
      <c r="O188" s="13"/>
      <c r="P188" s="14" t="s">
        <v>803</v>
      </c>
      <c r="Q188" s="10" t="s">
        <v>76</v>
      </c>
      <c r="R188" s="14" t="s">
        <v>61</v>
      </c>
    </row>
    <row r="189" customFormat="false" ht="42" hidden="false" customHeight="true" outlineLevel="0" collapsed="false">
      <c r="A189" s="16" t="n">
        <v>188</v>
      </c>
      <c r="B189" s="19" t="s">
        <v>804</v>
      </c>
      <c r="C189" s="16" t="s">
        <v>805</v>
      </c>
      <c r="D189" s="16" t="s">
        <v>327</v>
      </c>
      <c r="E189" s="16" t="s">
        <v>53</v>
      </c>
      <c r="F189" s="16" t="s">
        <v>246</v>
      </c>
      <c r="G189" s="16" t="s">
        <v>806</v>
      </c>
      <c r="H189" s="16" t="s">
        <v>206</v>
      </c>
      <c r="I189" s="16" t="s">
        <v>58</v>
      </c>
      <c r="J189" s="12" t="n">
        <v>1</v>
      </c>
      <c r="K189" s="17" t="s">
        <v>68</v>
      </c>
      <c r="L189" s="17" t="s">
        <v>31</v>
      </c>
      <c r="M189" s="17"/>
      <c r="N189" s="17"/>
      <c r="O189" s="17"/>
      <c r="P189" s="18" t="s">
        <v>807</v>
      </c>
      <c r="Q189" s="15" t="s">
        <v>60</v>
      </c>
      <c r="R189" s="18" t="s">
        <v>61</v>
      </c>
    </row>
    <row r="190" customFormat="false" ht="42" hidden="false" customHeight="true" outlineLevel="0" collapsed="false">
      <c r="A190" s="10" t="n">
        <v>189</v>
      </c>
      <c r="B190" s="11" t="s">
        <v>808</v>
      </c>
      <c r="C190" s="10" t="s">
        <v>805</v>
      </c>
      <c r="D190" s="10" t="s">
        <v>327</v>
      </c>
      <c r="E190" s="10" t="s">
        <v>53</v>
      </c>
      <c r="F190" s="10" t="s">
        <v>468</v>
      </c>
      <c r="G190" s="10" t="s">
        <v>809</v>
      </c>
      <c r="H190" s="10" t="s">
        <v>129</v>
      </c>
      <c r="I190" s="10" t="s">
        <v>58</v>
      </c>
      <c r="J190" s="12" t="n">
        <v>1</v>
      </c>
      <c r="K190" s="13" t="s">
        <v>68</v>
      </c>
      <c r="L190" s="13" t="s">
        <v>31</v>
      </c>
      <c r="M190" s="13"/>
      <c r="N190" s="13"/>
      <c r="O190" s="13"/>
      <c r="P190" s="14" t="s">
        <v>810</v>
      </c>
      <c r="Q190" s="15" t="s">
        <v>60</v>
      </c>
      <c r="R190" s="14" t="s">
        <v>61</v>
      </c>
    </row>
    <row r="191" customFormat="false" ht="42" hidden="false" customHeight="true" outlineLevel="0" collapsed="false">
      <c r="A191" s="16" t="n">
        <v>190</v>
      </c>
      <c r="B191" s="19" t="s">
        <v>811</v>
      </c>
      <c r="C191" s="16" t="s">
        <v>805</v>
      </c>
      <c r="D191" s="16" t="s">
        <v>230</v>
      </c>
      <c r="E191" s="16" t="s">
        <v>53</v>
      </c>
      <c r="F191" s="16" t="s">
        <v>241</v>
      </c>
      <c r="G191" s="16" t="s">
        <v>812</v>
      </c>
      <c r="H191" s="16" t="s">
        <v>206</v>
      </c>
      <c r="I191" s="16" t="s">
        <v>58</v>
      </c>
      <c r="J191" s="12" t="n">
        <v>1</v>
      </c>
      <c r="K191" s="17" t="s">
        <v>68</v>
      </c>
      <c r="L191" s="17" t="s">
        <v>31</v>
      </c>
      <c r="M191" s="17"/>
      <c r="N191" s="17"/>
      <c r="O191" s="17"/>
      <c r="P191" s="18" t="s">
        <v>813</v>
      </c>
      <c r="Q191" s="15" t="s">
        <v>60</v>
      </c>
      <c r="R191" s="18" t="s">
        <v>61</v>
      </c>
    </row>
    <row r="192" customFormat="false" ht="42" hidden="false" customHeight="true" outlineLevel="0" collapsed="false">
      <c r="A192" s="10" t="n">
        <v>191</v>
      </c>
      <c r="B192" s="11" t="s">
        <v>814</v>
      </c>
      <c r="C192" s="10" t="s">
        <v>805</v>
      </c>
      <c r="D192" s="10" t="s">
        <v>754</v>
      </c>
      <c r="E192" s="10" t="s">
        <v>53</v>
      </c>
      <c r="F192" s="10" t="s">
        <v>419</v>
      </c>
      <c r="G192" s="10" t="s">
        <v>815</v>
      </c>
      <c r="H192" s="10" t="s">
        <v>276</v>
      </c>
      <c r="I192" s="10" t="s">
        <v>58</v>
      </c>
      <c r="J192" s="12" t="n">
        <v>1</v>
      </c>
      <c r="K192" s="13" t="s">
        <v>68</v>
      </c>
      <c r="L192" s="13" t="s">
        <v>31</v>
      </c>
      <c r="M192" s="13"/>
      <c r="N192" s="13"/>
      <c r="O192" s="13"/>
      <c r="P192" s="14" t="s">
        <v>816</v>
      </c>
      <c r="Q192" s="15" t="s">
        <v>60</v>
      </c>
      <c r="R192" s="14" t="s">
        <v>61</v>
      </c>
    </row>
    <row r="193" customFormat="false" ht="42" hidden="false" customHeight="true" outlineLevel="0" collapsed="false">
      <c r="A193" s="16" t="n">
        <v>192</v>
      </c>
      <c r="B193" s="19" t="s">
        <v>817</v>
      </c>
      <c r="C193" s="16" t="s">
        <v>805</v>
      </c>
      <c r="D193" s="16" t="s">
        <v>327</v>
      </c>
      <c r="E193" s="16" t="s">
        <v>53</v>
      </c>
      <c r="F193" s="16" t="s">
        <v>818</v>
      </c>
      <c r="G193" s="16" t="s">
        <v>819</v>
      </c>
      <c r="H193" s="16" t="s">
        <v>206</v>
      </c>
      <c r="I193" s="16" t="s">
        <v>58</v>
      </c>
      <c r="J193" s="12" t="n">
        <v>1</v>
      </c>
      <c r="K193" s="17" t="s">
        <v>68</v>
      </c>
      <c r="L193" s="17" t="s">
        <v>31</v>
      </c>
      <c r="M193" s="17"/>
      <c r="N193" s="17"/>
      <c r="O193" s="17"/>
      <c r="P193" s="18" t="s">
        <v>820</v>
      </c>
      <c r="Q193" s="15" t="s">
        <v>60</v>
      </c>
      <c r="R193" s="18" t="s">
        <v>61</v>
      </c>
    </row>
    <row r="194" customFormat="false" ht="42" hidden="false" customHeight="true" outlineLevel="0" collapsed="false">
      <c r="A194" s="10" t="n">
        <v>193</v>
      </c>
      <c r="B194" s="10" t="s">
        <v>821</v>
      </c>
      <c r="C194" s="10" t="s">
        <v>805</v>
      </c>
      <c r="D194" s="10" t="s">
        <v>822</v>
      </c>
      <c r="E194" s="10" t="s">
        <v>53</v>
      </c>
      <c r="F194" s="10" t="s">
        <v>823</v>
      </c>
      <c r="G194" s="10" t="s">
        <v>824</v>
      </c>
      <c r="H194" s="10" t="s">
        <v>87</v>
      </c>
      <c r="I194" s="10" t="s">
        <v>202</v>
      </c>
      <c r="J194" s="10" t="n">
        <v>2</v>
      </c>
      <c r="K194" s="13" t="s">
        <v>58</v>
      </c>
      <c r="L194" s="13" t="s">
        <v>31</v>
      </c>
      <c r="M194" s="13"/>
      <c r="N194" s="13"/>
      <c r="O194" s="13"/>
      <c r="P194" s="14" t="s">
        <v>825</v>
      </c>
      <c r="Q194" s="15" t="s">
        <v>60</v>
      </c>
      <c r="R194" s="14" t="s">
        <v>61</v>
      </c>
    </row>
    <row r="195" customFormat="false" ht="42" hidden="false" customHeight="true" outlineLevel="0" collapsed="false">
      <c r="A195" s="16" t="n">
        <v>194</v>
      </c>
      <c r="B195" s="16" t="s">
        <v>826</v>
      </c>
      <c r="C195" s="16" t="s">
        <v>805</v>
      </c>
      <c r="D195" s="16" t="s">
        <v>298</v>
      </c>
      <c r="E195" s="16" t="s">
        <v>53</v>
      </c>
      <c r="F195" s="16" t="s">
        <v>827</v>
      </c>
      <c r="G195" s="16" t="s">
        <v>828</v>
      </c>
      <c r="H195" s="16" t="s">
        <v>253</v>
      </c>
      <c r="I195" s="16" t="s">
        <v>74</v>
      </c>
      <c r="J195" s="16" t="n">
        <v>2</v>
      </c>
      <c r="K195" s="17" t="s">
        <v>58</v>
      </c>
      <c r="L195" s="17" t="s">
        <v>31</v>
      </c>
      <c r="M195" s="17"/>
      <c r="N195" s="17"/>
      <c r="O195" s="17"/>
      <c r="P195" s="18" t="s">
        <v>829</v>
      </c>
      <c r="Q195" s="16" t="s">
        <v>76</v>
      </c>
      <c r="R195" s="18" t="s">
        <v>61</v>
      </c>
    </row>
    <row r="196" customFormat="false" ht="42" hidden="false" customHeight="true" outlineLevel="0" collapsed="false">
      <c r="A196" s="10" t="n">
        <v>195</v>
      </c>
      <c r="B196" s="10" t="s">
        <v>830</v>
      </c>
      <c r="C196" s="10" t="s">
        <v>805</v>
      </c>
      <c r="D196" s="10" t="s">
        <v>542</v>
      </c>
      <c r="E196" s="10" t="s">
        <v>53</v>
      </c>
      <c r="F196" s="10" t="s">
        <v>241</v>
      </c>
      <c r="G196" s="10" t="s">
        <v>831</v>
      </c>
      <c r="H196" s="10" t="s">
        <v>87</v>
      </c>
      <c r="I196" s="10" t="s">
        <v>58</v>
      </c>
      <c r="J196" s="10" t="n">
        <v>2</v>
      </c>
      <c r="K196" s="13" t="s">
        <v>68</v>
      </c>
      <c r="L196" s="13" t="s">
        <v>31</v>
      </c>
      <c r="M196" s="13"/>
      <c r="N196" s="13"/>
      <c r="O196" s="13"/>
      <c r="P196" s="14" t="s">
        <v>832</v>
      </c>
      <c r="Q196" s="10" t="s">
        <v>76</v>
      </c>
      <c r="R196" s="14" t="s">
        <v>61</v>
      </c>
    </row>
    <row r="197" customFormat="false" ht="42" hidden="false" customHeight="true" outlineLevel="0" collapsed="false">
      <c r="A197" s="16" t="n">
        <v>196</v>
      </c>
      <c r="B197" s="16" t="s">
        <v>833</v>
      </c>
      <c r="C197" s="16" t="s">
        <v>805</v>
      </c>
      <c r="D197" s="16" t="s">
        <v>234</v>
      </c>
      <c r="E197" s="16" t="s">
        <v>53</v>
      </c>
      <c r="F197" s="16" t="s">
        <v>834</v>
      </c>
      <c r="G197" s="16" t="s">
        <v>835</v>
      </c>
      <c r="H197" s="16" t="s">
        <v>66</v>
      </c>
      <c r="I197" s="16" t="s">
        <v>58</v>
      </c>
      <c r="J197" s="16" t="n">
        <v>2</v>
      </c>
      <c r="K197" s="17" t="s">
        <v>58</v>
      </c>
      <c r="L197" s="17" t="s">
        <v>31</v>
      </c>
      <c r="M197" s="17"/>
      <c r="N197" s="17"/>
      <c r="O197" s="17"/>
      <c r="P197" s="18" t="s">
        <v>836</v>
      </c>
      <c r="Q197" s="16" t="s">
        <v>76</v>
      </c>
      <c r="R197" s="18" t="s">
        <v>61</v>
      </c>
    </row>
    <row r="198" customFormat="false" ht="42" hidden="false" customHeight="true" outlineLevel="0" collapsed="false">
      <c r="A198" s="10" t="n">
        <v>197</v>
      </c>
      <c r="B198" s="10" t="s">
        <v>837</v>
      </c>
      <c r="C198" s="10" t="s">
        <v>805</v>
      </c>
      <c r="D198" s="10" t="s">
        <v>542</v>
      </c>
      <c r="E198" s="10" t="s">
        <v>53</v>
      </c>
      <c r="F198" s="10" t="s">
        <v>838</v>
      </c>
      <c r="G198" s="10" t="s">
        <v>839</v>
      </c>
      <c r="H198" s="10" t="s">
        <v>87</v>
      </c>
      <c r="I198" s="10" t="s">
        <v>58</v>
      </c>
      <c r="J198" s="10" t="n">
        <v>2</v>
      </c>
      <c r="K198" s="13" t="s">
        <v>58</v>
      </c>
      <c r="L198" s="13" t="s">
        <v>31</v>
      </c>
      <c r="M198" s="13"/>
      <c r="N198" s="13"/>
      <c r="O198" s="13"/>
      <c r="P198" s="14" t="s">
        <v>840</v>
      </c>
      <c r="Q198" s="15" t="s">
        <v>60</v>
      </c>
      <c r="R198" s="14" t="s">
        <v>61</v>
      </c>
    </row>
    <row r="199" customFormat="false" ht="42" hidden="false" customHeight="true" outlineLevel="0" collapsed="false">
      <c r="A199" s="16" t="n">
        <v>198</v>
      </c>
      <c r="B199" s="16" t="s">
        <v>841</v>
      </c>
      <c r="C199" s="16" t="s">
        <v>805</v>
      </c>
      <c r="D199" s="16" t="s">
        <v>298</v>
      </c>
      <c r="E199" s="16" t="s">
        <v>53</v>
      </c>
      <c r="F199" s="16" t="s">
        <v>834</v>
      </c>
      <c r="G199" s="16" t="s">
        <v>842</v>
      </c>
      <c r="H199" s="16" t="s">
        <v>66</v>
      </c>
      <c r="I199" s="16" t="s">
        <v>74</v>
      </c>
      <c r="J199" s="16" t="n">
        <v>2</v>
      </c>
      <c r="K199" s="17" t="s">
        <v>68</v>
      </c>
      <c r="L199" s="17" t="s">
        <v>31</v>
      </c>
      <c r="M199" s="17"/>
      <c r="N199" s="17"/>
      <c r="O199" s="17"/>
      <c r="P199" s="18" t="s">
        <v>843</v>
      </c>
      <c r="Q199" s="15" t="s">
        <v>60</v>
      </c>
      <c r="R199" s="18" t="s">
        <v>61</v>
      </c>
    </row>
    <row r="200" customFormat="false" ht="42" hidden="false" customHeight="true" outlineLevel="0" collapsed="false">
      <c r="A200" s="10" t="n">
        <v>199</v>
      </c>
      <c r="B200" s="10" t="s">
        <v>844</v>
      </c>
      <c r="C200" s="10" t="s">
        <v>805</v>
      </c>
      <c r="D200" s="10" t="s">
        <v>549</v>
      </c>
      <c r="E200" s="10" t="s">
        <v>96</v>
      </c>
      <c r="F200" s="10" t="s">
        <v>845</v>
      </c>
      <c r="G200" s="10" t="s">
        <v>846</v>
      </c>
      <c r="H200" s="10" t="s">
        <v>847</v>
      </c>
      <c r="I200" s="10" t="s">
        <v>58</v>
      </c>
      <c r="J200" s="10" t="n">
        <v>2</v>
      </c>
      <c r="K200" s="13" t="s">
        <v>58</v>
      </c>
      <c r="L200" s="13" t="s">
        <v>31</v>
      </c>
      <c r="M200" s="13"/>
      <c r="N200" s="13"/>
      <c r="O200" s="13"/>
      <c r="P200" s="14" t="s">
        <v>848</v>
      </c>
      <c r="Q200" s="15" t="s">
        <v>60</v>
      </c>
      <c r="R200" s="14" t="s">
        <v>61</v>
      </c>
    </row>
    <row r="201" customFormat="false" ht="42" hidden="false" customHeight="true" outlineLevel="0" collapsed="false">
      <c r="A201" s="16" t="n">
        <v>200</v>
      </c>
      <c r="B201" s="16" t="s">
        <v>849</v>
      </c>
      <c r="C201" s="16" t="s">
        <v>805</v>
      </c>
      <c r="D201" s="16" t="s">
        <v>584</v>
      </c>
      <c r="E201" s="16" t="s">
        <v>850</v>
      </c>
      <c r="F201" s="16" t="s">
        <v>524</v>
      </c>
      <c r="G201" s="16"/>
      <c r="H201" s="16" t="s">
        <v>276</v>
      </c>
      <c r="I201" s="16" t="s">
        <v>58</v>
      </c>
      <c r="J201" s="16" t="n">
        <v>2</v>
      </c>
      <c r="K201" s="17" t="s">
        <v>68</v>
      </c>
      <c r="L201" s="17" t="s">
        <v>31</v>
      </c>
      <c r="M201" s="17"/>
      <c r="N201" s="17"/>
      <c r="O201" s="17"/>
      <c r="P201" s="18" t="s">
        <v>851</v>
      </c>
      <c r="Q201" s="15" t="s">
        <v>60</v>
      </c>
      <c r="R201" s="18" t="s">
        <v>61</v>
      </c>
    </row>
    <row r="202" customFormat="false" ht="42" hidden="false" customHeight="true" outlineLevel="0" collapsed="false">
      <c r="A202" s="10" t="n">
        <v>201</v>
      </c>
      <c r="B202" s="10" t="s">
        <v>852</v>
      </c>
      <c r="C202" s="10" t="s">
        <v>805</v>
      </c>
      <c r="D202" s="10" t="s">
        <v>298</v>
      </c>
      <c r="E202" s="10" t="s">
        <v>53</v>
      </c>
      <c r="F202" s="10" t="s">
        <v>419</v>
      </c>
      <c r="G202" s="10" t="s">
        <v>853</v>
      </c>
      <c r="H202" s="10" t="s">
        <v>66</v>
      </c>
      <c r="I202" s="10" t="s">
        <v>74</v>
      </c>
      <c r="J202" s="10" t="n">
        <v>2</v>
      </c>
      <c r="K202" s="13" t="s">
        <v>68</v>
      </c>
      <c r="L202" s="13" t="s">
        <v>31</v>
      </c>
      <c r="M202" s="13"/>
      <c r="N202" s="13"/>
      <c r="O202" s="13"/>
      <c r="P202" s="14" t="s">
        <v>854</v>
      </c>
      <c r="Q202" s="10" t="s">
        <v>76</v>
      </c>
      <c r="R202" s="14" t="s">
        <v>61</v>
      </c>
    </row>
    <row r="203" customFormat="false" ht="42" hidden="false" customHeight="true" outlineLevel="0" collapsed="false">
      <c r="A203" s="16" t="n">
        <v>202</v>
      </c>
      <c r="B203" s="16" t="s">
        <v>855</v>
      </c>
      <c r="C203" s="16" t="s">
        <v>805</v>
      </c>
      <c r="D203" s="16" t="s">
        <v>542</v>
      </c>
      <c r="E203" s="16" t="s">
        <v>53</v>
      </c>
      <c r="F203" s="16" t="s">
        <v>856</v>
      </c>
      <c r="G203" s="16" t="s">
        <v>857</v>
      </c>
      <c r="H203" s="16" t="s">
        <v>87</v>
      </c>
      <c r="I203" s="16" t="s">
        <v>58</v>
      </c>
      <c r="J203" s="16" t="n">
        <v>2</v>
      </c>
      <c r="K203" s="17" t="s">
        <v>58</v>
      </c>
      <c r="L203" s="17" t="s">
        <v>31</v>
      </c>
      <c r="M203" s="17"/>
      <c r="N203" s="17"/>
      <c r="O203" s="17"/>
      <c r="P203" s="18" t="s">
        <v>858</v>
      </c>
      <c r="Q203" s="15" t="s">
        <v>60</v>
      </c>
      <c r="R203" s="18" t="s">
        <v>61</v>
      </c>
    </row>
    <row r="204" customFormat="false" ht="42" hidden="false" customHeight="true" outlineLevel="0" collapsed="false">
      <c r="A204" s="10" t="n">
        <v>203</v>
      </c>
      <c r="B204" s="10" t="s">
        <v>859</v>
      </c>
      <c r="C204" s="10" t="s">
        <v>805</v>
      </c>
      <c r="D204" s="10" t="s">
        <v>230</v>
      </c>
      <c r="E204" s="10" t="s">
        <v>53</v>
      </c>
      <c r="F204" s="10" t="s">
        <v>241</v>
      </c>
      <c r="G204" s="10"/>
      <c r="H204" s="10" t="s">
        <v>145</v>
      </c>
      <c r="I204" s="10" t="s">
        <v>58</v>
      </c>
      <c r="J204" s="10" t="n">
        <v>2</v>
      </c>
      <c r="K204" s="13" t="s">
        <v>68</v>
      </c>
      <c r="L204" s="13" t="s">
        <v>31</v>
      </c>
      <c r="M204" s="13"/>
      <c r="N204" s="13"/>
      <c r="O204" s="13"/>
      <c r="P204" s="14" t="s">
        <v>860</v>
      </c>
      <c r="Q204" s="15" t="s">
        <v>60</v>
      </c>
      <c r="R204" s="14" t="s">
        <v>61</v>
      </c>
    </row>
    <row r="205" customFormat="false" ht="42" hidden="false" customHeight="true" outlineLevel="0" collapsed="false">
      <c r="A205" s="16" t="n">
        <v>204</v>
      </c>
      <c r="B205" s="16" t="s">
        <v>861</v>
      </c>
      <c r="C205" s="16" t="s">
        <v>805</v>
      </c>
      <c r="D205" s="16" t="s">
        <v>327</v>
      </c>
      <c r="E205" s="16" t="s">
        <v>53</v>
      </c>
      <c r="F205" s="16" t="s">
        <v>241</v>
      </c>
      <c r="G205" s="16" t="s">
        <v>862</v>
      </c>
      <c r="H205" s="16" t="s">
        <v>206</v>
      </c>
      <c r="I205" s="16" t="s">
        <v>58</v>
      </c>
      <c r="J205" s="16" t="n">
        <v>2</v>
      </c>
      <c r="K205" s="17" t="s">
        <v>68</v>
      </c>
      <c r="L205" s="17" t="s">
        <v>31</v>
      </c>
      <c r="M205" s="17"/>
      <c r="N205" s="17"/>
      <c r="O205" s="17"/>
      <c r="P205" s="18" t="s">
        <v>863</v>
      </c>
      <c r="Q205" s="16" t="s">
        <v>76</v>
      </c>
      <c r="R205" s="18" t="s">
        <v>61</v>
      </c>
    </row>
    <row r="206" customFormat="false" ht="42" hidden="false" customHeight="true" outlineLevel="0" collapsed="false">
      <c r="A206" s="10" t="n">
        <v>205</v>
      </c>
      <c r="B206" s="10" t="s">
        <v>864</v>
      </c>
      <c r="C206" s="10" t="s">
        <v>805</v>
      </c>
      <c r="D206" s="10" t="s">
        <v>298</v>
      </c>
      <c r="E206" s="10" t="s">
        <v>53</v>
      </c>
      <c r="F206" s="10" t="s">
        <v>865</v>
      </c>
      <c r="G206" s="10" t="s">
        <v>866</v>
      </c>
      <c r="H206" s="10" t="s">
        <v>66</v>
      </c>
      <c r="I206" s="10" t="s">
        <v>74</v>
      </c>
      <c r="J206" s="10" t="n">
        <v>2</v>
      </c>
      <c r="K206" s="13" t="s">
        <v>68</v>
      </c>
      <c r="L206" s="13" t="s">
        <v>31</v>
      </c>
      <c r="M206" s="13"/>
      <c r="N206" s="13"/>
      <c r="O206" s="13"/>
      <c r="P206" s="14" t="s">
        <v>867</v>
      </c>
      <c r="Q206" s="10" t="s">
        <v>76</v>
      </c>
      <c r="R206" s="14" t="s">
        <v>61</v>
      </c>
    </row>
    <row r="207" customFormat="false" ht="42" hidden="false" customHeight="true" outlineLevel="0" collapsed="false">
      <c r="A207" s="16" t="n">
        <v>206</v>
      </c>
      <c r="B207" s="16" t="s">
        <v>868</v>
      </c>
      <c r="C207" s="16" t="s">
        <v>805</v>
      </c>
      <c r="D207" s="16" t="s">
        <v>869</v>
      </c>
      <c r="E207" s="16" t="s">
        <v>53</v>
      </c>
      <c r="F207" s="16" t="s">
        <v>870</v>
      </c>
      <c r="G207" s="16" t="s">
        <v>289</v>
      </c>
      <c r="H207" s="16" t="s">
        <v>56</v>
      </c>
      <c r="I207" s="16" t="s">
        <v>202</v>
      </c>
      <c r="J207" s="16" t="n">
        <v>3</v>
      </c>
      <c r="K207" s="17" t="s">
        <v>58</v>
      </c>
      <c r="L207" s="17" t="s">
        <v>31</v>
      </c>
      <c r="M207" s="17"/>
      <c r="N207" s="17"/>
      <c r="O207" s="17"/>
      <c r="P207" s="18" t="s">
        <v>871</v>
      </c>
      <c r="Q207" s="16" t="s">
        <v>76</v>
      </c>
      <c r="R207" s="18" t="s">
        <v>61</v>
      </c>
    </row>
    <row r="208" customFormat="false" ht="42" hidden="false" customHeight="true" outlineLevel="0" collapsed="false">
      <c r="A208" s="10" t="n">
        <v>207</v>
      </c>
      <c r="B208" s="10" t="s">
        <v>872</v>
      </c>
      <c r="C208" s="10" t="s">
        <v>805</v>
      </c>
      <c r="D208" s="10" t="s">
        <v>327</v>
      </c>
      <c r="E208" s="10" t="s">
        <v>53</v>
      </c>
      <c r="F208" s="10" t="s">
        <v>295</v>
      </c>
      <c r="G208" s="10"/>
      <c r="H208" s="10" t="s">
        <v>129</v>
      </c>
      <c r="I208" s="10" t="s">
        <v>58</v>
      </c>
      <c r="J208" s="10" t="n">
        <v>3</v>
      </c>
      <c r="K208" s="13" t="s">
        <v>68</v>
      </c>
      <c r="L208" s="13" t="s">
        <v>31</v>
      </c>
      <c r="M208" s="13"/>
      <c r="N208" s="13"/>
      <c r="O208" s="13"/>
      <c r="P208" s="14" t="s">
        <v>873</v>
      </c>
      <c r="Q208" s="15" t="s">
        <v>60</v>
      </c>
      <c r="R208" s="14" t="s">
        <v>61</v>
      </c>
    </row>
    <row r="209" customFormat="false" ht="42" hidden="false" customHeight="true" outlineLevel="0" collapsed="false">
      <c r="A209" s="16" t="n">
        <v>208</v>
      </c>
      <c r="B209" s="16" t="s">
        <v>874</v>
      </c>
      <c r="C209" s="16" t="s">
        <v>805</v>
      </c>
      <c r="D209" s="16" t="s">
        <v>875</v>
      </c>
      <c r="E209" s="16" t="s">
        <v>53</v>
      </c>
      <c r="F209" s="16" t="s">
        <v>876</v>
      </c>
      <c r="G209" s="16" t="s">
        <v>877</v>
      </c>
      <c r="H209" s="16" t="s">
        <v>66</v>
      </c>
      <c r="I209" s="16" t="s">
        <v>74</v>
      </c>
      <c r="J209" s="16" t="n">
        <v>3</v>
      </c>
      <c r="K209" s="17" t="s">
        <v>68</v>
      </c>
      <c r="L209" s="17" t="s">
        <v>31</v>
      </c>
      <c r="M209" s="17"/>
      <c r="N209" s="17"/>
      <c r="O209" s="17"/>
      <c r="P209" s="18" t="s">
        <v>878</v>
      </c>
      <c r="Q209" s="16" t="s">
        <v>76</v>
      </c>
      <c r="R209" s="18" t="s">
        <v>61</v>
      </c>
    </row>
    <row r="210" customFormat="false" ht="42" hidden="false" customHeight="true" outlineLevel="0" collapsed="false">
      <c r="A210" s="10" t="n">
        <v>209</v>
      </c>
      <c r="B210" s="10" t="s">
        <v>879</v>
      </c>
      <c r="C210" s="10" t="s">
        <v>805</v>
      </c>
      <c r="D210" s="10" t="s">
        <v>327</v>
      </c>
      <c r="E210" s="10" t="s">
        <v>880</v>
      </c>
      <c r="F210" s="10" t="s">
        <v>251</v>
      </c>
      <c r="G210" s="10" t="s">
        <v>881</v>
      </c>
      <c r="H210" s="10" t="s">
        <v>159</v>
      </c>
      <c r="I210" s="10" t="s">
        <v>58</v>
      </c>
      <c r="J210" s="10" t="n">
        <v>3</v>
      </c>
      <c r="K210" s="13" t="s">
        <v>58</v>
      </c>
      <c r="L210" s="13" t="s">
        <v>31</v>
      </c>
      <c r="M210" s="13"/>
      <c r="N210" s="13"/>
      <c r="O210" s="13"/>
      <c r="P210" s="14" t="s">
        <v>882</v>
      </c>
      <c r="Q210" s="15" t="s">
        <v>60</v>
      </c>
      <c r="R210" s="14" t="s">
        <v>61</v>
      </c>
    </row>
    <row r="211" customFormat="false" ht="42" hidden="false" customHeight="true" outlineLevel="0" collapsed="false">
      <c r="A211" s="16" t="n">
        <v>210</v>
      </c>
      <c r="B211" s="16" t="s">
        <v>883</v>
      </c>
      <c r="C211" s="16" t="s">
        <v>805</v>
      </c>
      <c r="D211" s="16" t="s">
        <v>327</v>
      </c>
      <c r="E211" s="16" t="s">
        <v>884</v>
      </c>
      <c r="F211" s="16" t="s">
        <v>241</v>
      </c>
      <c r="G211" s="16" t="s">
        <v>885</v>
      </c>
      <c r="H211" s="16" t="s">
        <v>119</v>
      </c>
      <c r="I211" s="16" t="s">
        <v>58</v>
      </c>
      <c r="J211" s="16" t="n">
        <v>3</v>
      </c>
      <c r="K211" s="17" t="s">
        <v>58</v>
      </c>
      <c r="L211" s="17" t="s">
        <v>31</v>
      </c>
      <c r="M211" s="17"/>
      <c r="N211" s="17"/>
      <c r="O211" s="17"/>
      <c r="P211" s="18" t="s">
        <v>886</v>
      </c>
      <c r="Q211" s="15" t="s">
        <v>60</v>
      </c>
      <c r="R211" s="18" t="s">
        <v>61</v>
      </c>
    </row>
    <row r="212" customFormat="false" ht="42" hidden="false" customHeight="true" outlineLevel="0" collapsed="false">
      <c r="A212" s="10" t="n">
        <v>211</v>
      </c>
      <c r="B212" s="10" t="s">
        <v>887</v>
      </c>
      <c r="C212" s="10" t="s">
        <v>805</v>
      </c>
      <c r="D212" s="10" t="s">
        <v>542</v>
      </c>
      <c r="E212" s="10" t="s">
        <v>53</v>
      </c>
      <c r="F212" s="10" t="s">
        <v>550</v>
      </c>
      <c r="G212" s="10" t="s">
        <v>888</v>
      </c>
      <c r="H212" s="10" t="s">
        <v>87</v>
      </c>
      <c r="I212" s="10" t="s">
        <v>58</v>
      </c>
      <c r="J212" s="10" t="n">
        <v>3</v>
      </c>
      <c r="K212" s="13" t="s">
        <v>58</v>
      </c>
      <c r="L212" s="13" t="s">
        <v>31</v>
      </c>
      <c r="M212" s="13"/>
      <c r="N212" s="13"/>
      <c r="O212" s="13"/>
      <c r="P212" s="14" t="s">
        <v>889</v>
      </c>
      <c r="Q212" s="15" t="s">
        <v>60</v>
      </c>
      <c r="R212" s="14" t="s">
        <v>61</v>
      </c>
    </row>
    <row r="213" customFormat="false" ht="42" hidden="false" customHeight="true" outlineLevel="0" collapsed="false">
      <c r="A213" s="16" t="n">
        <v>212</v>
      </c>
      <c r="B213" s="16" t="s">
        <v>890</v>
      </c>
      <c r="C213" s="16" t="s">
        <v>805</v>
      </c>
      <c r="D213" s="16" t="s">
        <v>230</v>
      </c>
      <c r="E213" s="16" t="s">
        <v>53</v>
      </c>
      <c r="F213" s="16" t="s">
        <v>251</v>
      </c>
      <c r="G213" s="16" t="s">
        <v>891</v>
      </c>
      <c r="H213" s="16" t="s">
        <v>145</v>
      </c>
      <c r="I213" s="16" t="s">
        <v>58</v>
      </c>
      <c r="J213" s="16" t="n">
        <v>3</v>
      </c>
      <c r="K213" s="17" t="s">
        <v>58</v>
      </c>
      <c r="L213" s="17" t="s">
        <v>31</v>
      </c>
      <c r="M213" s="17"/>
      <c r="N213" s="17"/>
      <c r="O213" s="17"/>
      <c r="P213" s="18" t="s">
        <v>892</v>
      </c>
      <c r="Q213" s="15" t="s">
        <v>60</v>
      </c>
      <c r="R213" s="18" t="s">
        <v>61</v>
      </c>
    </row>
    <row r="214" customFormat="false" ht="42" hidden="false" customHeight="true" outlineLevel="0" collapsed="false">
      <c r="A214" s="10" t="n">
        <v>213</v>
      </c>
      <c r="B214" s="10" t="s">
        <v>893</v>
      </c>
      <c r="C214" s="10" t="s">
        <v>805</v>
      </c>
      <c r="D214" s="10" t="s">
        <v>298</v>
      </c>
      <c r="E214" s="10" t="s">
        <v>53</v>
      </c>
      <c r="F214" s="10" t="s">
        <v>633</v>
      </c>
      <c r="G214" s="10"/>
      <c r="H214" s="10" t="s">
        <v>66</v>
      </c>
      <c r="I214" s="10" t="s">
        <v>74</v>
      </c>
      <c r="J214" s="10" t="n">
        <v>3</v>
      </c>
      <c r="K214" s="13" t="s">
        <v>58</v>
      </c>
      <c r="L214" s="13" t="s">
        <v>31</v>
      </c>
      <c r="M214" s="13"/>
      <c r="N214" s="13"/>
      <c r="O214" s="13"/>
      <c r="P214" s="14" t="s">
        <v>894</v>
      </c>
      <c r="Q214" s="15" t="s">
        <v>60</v>
      </c>
      <c r="R214" s="14" t="s">
        <v>61</v>
      </c>
    </row>
    <row r="215" customFormat="false" ht="42" hidden="false" customHeight="true" outlineLevel="0" collapsed="false">
      <c r="A215" s="16" t="n">
        <v>214</v>
      </c>
      <c r="B215" s="16" t="s">
        <v>895</v>
      </c>
      <c r="C215" s="16" t="s">
        <v>805</v>
      </c>
      <c r="D215" s="16" t="s">
        <v>896</v>
      </c>
      <c r="E215" s="16" t="s">
        <v>53</v>
      </c>
      <c r="F215" s="16" t="s">
        <v>241</v>
      </c>
      <c r="G215" s="16" t="s">
        <v>897</v>
      </c>
      <c r="H215" s="16" t="s">
        <v>56</v>
      </c>
      <c r="I215" s="16" t="s">
        <v>58</v>
      </c>
      <c r="J215" s="16" t="n">
        <v>3</v>
      </c>
      <c r="K215" s="17" t="s">
        <v>68</v>
      </c>
      <c r="L215" s="17" t="s">
        <v>31</v>
      </c>
      <c r="M215" s="17"/>
      <c r="N215" s="17"/>
      <c r="O215" s="17"/>
      <c r="P215" s="18" t="s">
        <v>898</v>
      </c>
      <c r="Q215" s="15" t="s">
        <v>60</v>
      </c>
      <c r="R215" s="18" t="s">
        <v>61</v>
      </c>
    </row>
    <row r="216" customFormat="false" ht="42" hidden="false" customHeight="true" outlineLevel="0" collapsed="false">
      <c r="A216" s="10" t="n">
        <v>215</v>
      </c>
      <c r="B216" s="11" t="s">
        <v>899</v>
      </c>
      <c r="C216" s="10" t="s">
        <v>900</v>
      </c>
      <c r="D216" s="10" t="s">
        <v>901</v>
      </c>
      <c r="E216" s="10" t="s">
        <v>53</v>
      </c>
      <c r="F216" s="10" t="s">
        <v>231</v>
      </c>
      <c r="G216" s="10" t="s">
        <v>902</v>
      </c>
      <c r="H216" s="10" t="s">
        <v>273</v>
      </c>
      <c r="I216" s="10" t="s">
        <v>58</v>
      </c>
      <c r="J216" s="12" t="n">
        <v>1</v>
      </c>
      <c r="K216" s="13" t="s">
        <v>68</v>
      </c>
      <c r="L216" s="13" t="s">
        <v>31</v>
      </c>
      <c r="M216" s="13"/>
      <c r="N216" s="13"/>
      <c r="O216" s="13"/>
      <c r="P216" s="14" t="s">
        <v>903</v>
      </c>
      <c r="Q216" s="10" t="s">
        <v>76</v>
      </c>
      <c r="R216" s="14" t="s">
        <v>61</v>
      </c>
    </row>
    <row r="217" customFormat="false" ht="42" hidden="false" customHeight="true" outlineLevel="0" collapsed="false">
      <c r="A217" s="16" t="n">
        <v>216</v>
      </c>
      <c r="B217" s="19" t="s">
        <v>904</v>
      </c>
      <c r="C217" s="16" t="s">
        <v>900</v>
      </c>
      <c r="D217" s="16" t="s">
        <v>683</v>
      </c>
      <c r="E217" s="16" t="s">
        <v>53</v>
      </c>
      <c r="F217" s="16" t="s">
        <v>241</v>
      </c>
      <c r="G217" s="16" t="s">
        <v>905</v>
      </c>
      <c r="H217" s="16" t="s">
        <v>206</v>
      </c>
      <c r="I217" s="16" t="s">
        <v>58</v>
      </c>
      <c r="J217" s="12" t="n">
        <v>1</v>
      </c>
      <c r="K217" s="17" t="s">
        <v>58</v>
      </c>
      <c r="L217" s="17" t="s">
        <v>31</v>
      </c>
      <c r="M217" s="17"/>
      <c r="N217" s="17"/>
      <c r="O217" s="17"/>
      <c r="P217" s="18" t="s">
        <v>906</v>
      </c>
      <c r="Q217" s="16" t="s">
        <v>76</v>
      </c>
      <c r="R217" s="18" t="s">
        <v>61</v>
      </c>
    </row>
    <row r="218" customFormat="false" ht="42" hidden="false" customHeight="true" outlineLevel="0" collapsed="false">
      <c r="A218" s="10" t="n">
        <v>217</v>
      </c>
      <c r="B218" s="10" t="s">
        <v>907</v>
      </c>
      <c r="C218" s="10" t="s">
        <v>900</v>
      </c>
      <c r="D218" s="10" t="s">
        <v>230</v>
      </c>
      <c r="E218" s="10" t="s">
        <v>53</v>
      </c>
      <c r="F218" s="10" t="s">
        <v>235</v>
      </c>
      <c r="G218" s="10"/>
      <c r="H218" s="10" t="s">
        <v>145</v>
      </c>
      <c r="I218" s="10" t="s">
        <v>58</v>
      </c>
      <c r="J218" s="10" t="n">
        <v>2</v>
      </c>
      <c r="K218" s="13" t="s">
        <v>68</v>
      </c>
      <c r="L218" s="13" t="s">
        <v>31</v>
      </c>
      <c r="M218" s="13"/>
      <c r="N218" s="13"/>
      <c r="O218" s="13"/>
      <c r="P218" s="14" t="s">
        <v>908</v>
      </c>
      <c r="Q218" s="15" t="s">
        <v>60</v>
      </c>
      <c r="R218" s="14" t="s">
        <v>61</v>
      </c>
    </row>
    <row r="219" customFormat="false" ht="42" hidden="false" customHeight="true" outlineLevel="0" collapsed="false">
      <c r="A219" s="16" t="n">
        <v>218</v>
      </c>
      <c r="B219" s="16" t="s">
        <v>909</v>
      </c>
      <c r="C219" s="16" t="s">
        <v>900</v>
      </c>
      <c r="D219" s="16" t="s">
        <v>327</v>
      </c>
      <c r="E219" s="16" t="s">
        <v>53</v>
      </c>
      <c r="F219" s="16" t="s">
        <v>468</v>
      </c>
      <c r="G219" s="16"/>
      <c r="H219" s="16" t="s">
        <v>159</v>
      </c>
      <c r="I219" s="16" t="s">
        <v>58</v>
      </c>
      <c r="J219" s="16" t="n">
        <v>3</v>
      </c>
      <c r="K219" s="17" t="s">
        <v>68</v>
      </c>
      <c r="L219" s="17" t="s">
        <v>31</v>
      </c>
      <c r="M219" s="17"/>
      <c r="N219" s="17"/>
      <c r="O219" s="17"/>
      <c r="P219" s="18" t="s">
        <v>910</v>
      </c>
      <c r="Q219" s="15" t="s">
        <v>60</v>
      </c>
      <c r="R219" s="18" t="s">
        <v>61</v>
      </c>
    </row>
    <row r="220" customFormat="false" ht="42" hidden="false" customHeight="true" outlineLevel="0" collapsed="false">
      <c r="A220" s="10" t="n">
        <v>219</v>
      </c>
      <c r="B220" s="10" t="s">
        <v>911</v>
      </c>
      <c r="C220" s="10" t="s">
        <v>900</v>
      </c>
      <c r="D220" s="10" t="s">
        <v>417</v>
      </c>
      <c r="E220" s="10" t="s">
        <v>912</v>
      </c>
      <c r="F220" s="10" t="s">
        <v>406</v>
      </c>
      <c r="G220" s="10"/>
      <c r="H220" s="10" t="s">
        <v>129</v>
      </c>
      <c r="I220" s="10" t="s">
        <v>68</v>
      </c>
      <c r="J220" s="10" t="n">
        <v>3</v>
      </c>
      <c r="K220" s="13" t="s">
        <v>58</v>
      </c>
      <c r="L220" s="13" t="s">
        <v>31</v>
      </c>
      <c r="M220" s="13"/>
      <c r="N220" s="13"/>
      <c r="O220" s="13"/>
      <c r="P220" s="14" t="s">
        <v>913</v>
      </c>
      <c r="Q220" s="10" t="s">
        <v>76</v>
      </c>
      <c r="R220" s="14" t="s">
        <v>61</v>
      </c>
    </row>
    <row r="221" customFormat="false" ht="42" hidden="false" customHeight="true" outlineLevel="0" collapsed="false">
      <c r="A221" s="16" t="n">
        <v>220</v>
      </c>
      <c r="B221" s="16" t="s">
        <v>914</v>
      </c>
      <c r="C221" s="16" t="s">
        <v>900</v>
      </c>
      <c r="D221" s="16" t="s">
        <v>915</v>
      </c>
      <c r="E221" s="16" t="s">
        <v>53</v>
      </c>
      <c r="F221" s="16" t="s">
        <v>756</v>
      </c>
      <c r="G221" s="16" t="s">
        <v>916</v>
      </c>
      <c r="H221" s="16" t="s">
        <v>87</v>
      </c>
      <c r="I221" s="16" t="s">
        <v>58</v>
      </c>
      <c r="J221" s="16" t="n">
        <v>3</v>
      </c>
      <c r="K221" s="17" t="s">
        <v>58</v>
      </c>
      <c r="L221" s="17" t="s">
        <v>31</v>
      </c>
      <c r="M221" s="17"/>
      <c r="N221" s="17"/>
      <c r="O221" s="17"/>
      <c r="P221" s="18" t="s">
        <v>917</v>
      </c>
      <c r="Q221" s="15" t="s">
        <v>60</v>
      </c>
      <c r="R221" s="18" t="s">
        <v>61</v>
      </c>
    </row>
    <row r="222" customFormat="false" ht="42" hidden="false" customHeight="true" outlineLevel="0" collapsed="false">
      <c r="A222" s="10" t="n">
        <v>221</v>
      </c>
      <c r="B222" s="10" t="s">
        <v>918</v>
      </c>
      <c r="C222" s="10" t="s">
        <v>900</v>
      </c>
      <c r="D222" s="10" t="s">
        <v>230</v>
      </c>
      <c r="E222" s="10" t="s">
        <v>53</v>
      </c>
      <c r="F222" s="10" t="s">
        <v>323</v>
      </c>
      <c r="G222" s="10"/>
      <c r="H222" s="10" t="s">
        <v>159</v>
      </c>
      <c r="I222" s="10" t="s">
        <v>58</v>
      </c>
      <c r="J222" s="10" t="n">
        <v>3</v>
      </c>
      <c r="K222" s="13" t="s">
        <v>58</v>
      </c>
      <c r="L222" s="13" t="s">
        <v>31</v>
      </c>
      <c r="M222" s="13"/>
      <c r="N222" s="13"/>
      <c r="O222" s="13"/>
      <c r="P222" s="14" t="s">
        <v>919</v>
      </c>
      <c r="Q222" s="15" t="s">
        <v>60</v>
      </c>
      <c r="R222" s="14" t="s">
        <v>61</v>
      </c>
    </row>
    <row r="223" customFormat="false" ht="42" hidden="false" customHeight="true" outlineLevel="0" collapsed="false">
      <c r="A223" s="16" t="n">
        <v>222</v>
      </c>
      <c r="B223" s="16" t="s">
        <v>920</v>
      </c>
      <c r="C223" s="16" t="s">
        <v>900</v>
      </c>
      <c r="D223" s="16" t="s">
        <v>230</v>
      </c>
      <c r="E223" s="16" t="s">
        <v>528</v>
      </c>
      <c r="F223" s="16" t="s">
        <v>235</v>
      </c>
      <c r="G223" s="16" t="s">
        <v>921</v>
      </c>
      <c r="H223" s="16" t="s">
        <v>273</v>
      </c>
      <c r="I223" s="16" t="s">
        <v>58</v>
      </c>
      <c r="J223" s="16" t="n">
        <v>3</v>
      </c>
      <c r="K223" s="17" t="s">
        <v>58</v>
      </c>
      <c r="L223" s="17" t="s">
        <v>31</v>
      </c>
      <c r="M223" s="17"/>
      <c r="N223" s="17"/>
      <c r="O223" s="17"/>
      <c r="P223" s="18" t="s">
        <v>922</v>
      </c>
      <c r="Q223" s="15" t="s">
        <v>60</v>
      </c>
      <c r="R223" s="18" t="s">
        <v>61</v>
      </c>
    </row>
    <row r="224" customFormat="false" ht="42" hidden="false" customHeight="true" outlineLevel="0" collapsed="false">
      <c r="A224" s="10" t="n">
        <v>223</v>
      </c>
      <c r="B224" s="10" t="s">
        <v>923</v>
      </c>
      <c r="C224" s="10" t="s">
        <v>900</v>
      </c>
      <c r="D224" s="10" t="s">
        <v>230</v>
      </c>
      <c r="E224" s="10" t="s">
        <v>53</v>
      </c>
      <c r="F224" s="10" t="s">
        <v>323</v>
      </c>
      <c r="G224" s="10"/>
      <c r="H224" s="10" t="s">
        <v>159</v>
      </c>
      <c r="I224" s="10" t="s">
        <v>58</v>
      </c>
      <c r="J224" s="10" t="n">
        <v>3</v>
      </c>
      <c r="K224" s="13" t="s">
        <v>68</v>
      </c>
      <c r="L224" s="13" t="s">
        <v>31</v>
      </c>
      <c r="M224" s="13"/>
      <c r="N224" s="13"/>
      <c r="O224" s="13"/>
      <c r="P224" s="14" t="s">
        <v>924</v>
      </c>
      <c r="Q224" s="15" t="s">
        <v>60</v>
      </c>
      <c r="R224" s="14" t="s">
        <v>61</v>
      </c>
    </row>
    <row r="225" customFormat="false" ht="42" hidden="false" customHeight="true" outlineLevel="0" collapsed="false">
      <c r="A225" s="16" t="n">
        <v>224</v>
      </c>
      <c r="B225" s="19" t="s">
        <v>925</v>
      </c>
      <c r="C225" s="16" t="s">
        <v>926</v>
      </c>
      <c r="D225" s="16" t="s">
        <v>179</v>
      </c>
      <c r="E225" s="16" t="s">
        <v>927</v>
      </c>
      <c r="F225" s="16" t="s">
        <v>928</v>
      </c>
      <c r="G225" s="16" t="s">
        <v>929</v>
      </c>
      <c r="H225" s="16" t="s">
        <v>273</v>
      </c>
      <c r="I225" s="16" t="s">
        <v>58</v>
      </c>
      <c r="J225" s="12" t="n">
        <v>1</v>
      </c>
      <c r="K225" s="17" t="s">
        <v>68</v>
      </c>
      <c r="L225" s="17" t="s">
        <v>31</v>
      </c>
      <c r="M225" s="17"/>
      <c r="N225" s="17"/>
      <c r="O225" s="17"/>
      <c r="P225" s="18" t="s">
        <v>930</v>
      </c>
      <c r="Q225" s="15" t="s">
        <v>60</v>
      </c>
      <c r="R225" s="18" t="s">
        <v>61</v>
      </c>
    </row>
    <row r="226" customFormat="false" ht="42" hidden="false" customHeight="true" outlineLevel="0" collapsed="false">
      <c r="A226" s="10" t="n">
        <v>225</v>
      </c>
      <c r="B226" s="11" t="s">
        <v>931</v>
      </c>
      <c r="C226" s="10" t="s">
        <v>926</v>
      </c>
      <c r="D226" s="10" t="s">
        <v>179</v>
      </c>
      <c r="E226" s="10" t="s">
        <v>53</v>
      </c>
      <c r="F226" s="10" t="s">
        <v>932</v>
      </c>
      <c r="G226" s="10" t="s">
        <v>933</v>
      </c>
      <c r="H226" s="10" t="s">
        <v>119</v>
      </c>
      <c r="I226" s="10" t="s">
        <v>58</v>
      </c>
      <c r="J226" s="12" t="n">
        <v>1</v>
      </c>
      <c r="K226" s="13" t="s">
        <v>68</v>
      </c>
      <c r="L226" s="13" t="s">
        <v>31</v>
      </c>
      <c r="M226" s="13"/>
      <c r="N226" s="13"/>
      <c r="O226" s="13"/>
      <c r="P226" s="14" t="s">
        <v>934</v>
      </c>
      <c r="Q226" s="10" t="s">
        <v>76</v>
      </c>
      <c r="R226" s="14" t="s">
        <v>61</v>
      </c>
    </row>
    <row r="227" customFormat="false" ht="42" hidden="false" customHeight="true" outlineLevel="0" collapsed="false">
      <c r="A227" s="16" t="n">
        <v>226</v>
      </c>
      <c r="B227" s="19" t="s">
        <v>935</v>
      </c>
      <c r="C227" s="16" t="s">
        <v>926</v>
      </c>
      <c r="D227" s="16" t="s">
        <v>179</v>
      </c>
      <c r="E227" s="16" t="s">
        <v>53</v>
      </c>
      <c r="F227" s="16" t="s">
        <v>936</v>
      </c>
      <c r="G227" s="16" t="s">
        <v>937</v>
      </c>
      <c r="H227" s="16" t="s">
        <v>282</v>
      </c>
      <c r="I227" s="16" t="s">
        <v>58</v>
      </c>
      <c r="J227" s="12" t="n">
        <v>1</v>
      </c>
      <c r="K227" s="17" t="s">
        <v>68</v>
      </c>
      <c r="L227" s="17" t="s">
        <v>31</v>
      </c>
      <c r="M227" s="17"/>
      <c r="N227" s="17"/>
      <c r="O227" s="17"/>
      <c r="P227" s="18" t="s">
        <v>120</v>
      </c>
      <c r="Q227" s="16" t="s">
        <v>76</v>
      </c>
      <c r="R227" s="18" t="s">
        <v>61</v>
      </c>
    </row>
    <row r="228" customFormat="false" ht="42" hidden="false" customHeight="true" outlineLevel="0" collapsed="false">
      <c r="A228" s="10" t="n">
        <v>227</v>
      </c>
      <c r="B228" s="11" t="s">
        <v>938</v>
      </c>
      <c r="C228" s="10" t="s">
        <v>926</v>
      </c>
      <c r="D228" s="10" t="s">
        <v>939</v>
      </c>
      <c r="E228" s="10" t="s">
        <v>53</v>
      </c>
      <c r="F228" s="10" t="s">
        <v>940</v>
      </c>
      <c r="G228" s="10" t="s">
        <v>941</v>
      </c>
      <c r="H228" s="10" t="s">
        <v>339</v>
      </c>
      <c r="I228" s="10" t="s">
        <v>58</v>
      </c>
      <c r="J228" s="12" t="n">
        <v>1</v>
      </c>
      <c r="K228" s="13" t="s">
        <v>68</v>
      </c>
      <c r="L228" s="13" t="s">
        <v>31</v>
      </c>
      <c r="M228" s="13"/>
      <c r="N228" s="13"/>
      <c r="O228" s="13"/>
      <c r="P228" s="14" t="s">
        <v>942</v>
      </c>
      <c r="Q228" s="15" t="s">
        <v>60</v>
      </c>
      <c r="R228" s="14" t="s">
        <v>61</v>
      </c>
    </row>
    <row r="229" customFormat="false" ht="42" hidden="false" customHeight="true" outlineLevel="0" collapsed="false">
      <c r="A229" s="16" t="n">
        <v>228</v>
      </c>
      <c r="B229" s="19" t="s">
        <v>943</v>
      </c>
      <c r="C229" s="16" t="s">
        <v>926</v>
      </c>
      <c r="D229" s="16" t="s">
        <v>179</v>
      </c>
      <c r="E229" s="16" t="s">
        <v>53</v>
      </c>
      <c r="F229" s="16" t="s">
        <v>944</v>
      </c>
      <c r="G229" s="16" t="s">
        <v>945</v>
      </c>
      <c r="H229" s="16" t="s">
        <v>129</v>
      </c>
      <c r="I229" s="16" t="s">
        <v>58</v>
      </c>
      <c r="J229" s="12" t="n">
        <v>1</v>
      </c>
      <c r="K229" s="17" t="s">
        <v>68</v>
      </c>
      <c r="L229" s="17" t="s">
        <v>31</v>
      </c>
      <c r="M229" s="17"/>
      <c r="N229" s="17"/>
      <c r="O229" s="17"/>
      <c r="P229" s="18" t="s">
        <v>946</v>
      </c>
      <c r="Q229" s="16" t="s">
        <v>76</v>
      </c>
      <c r="R229" s="18" t="s">
        <v>61</v>
      </c>
    </row>
    <row r="230" customFormat="false" ht="42" hidden="false" customHeight="true" outlineLevel="0" collapsed="false">
      <c r="A230" s="10" t="n">
        <v>229</v>
      </c>
      <c r="B230" s="11" t="s">
        <v>947</v>
      </c>
      <c r="C230" s="10" t="s">
        <v>926</v>
      </c>
      <c r="D230" s="10" t="s">
        <v>939</v>
      </c>
      <c r="E230" s="10" t="s">
        <v>53</v>
      </c>
      <c r="F230" s="10" t="s">
        <v>948</v>
      </c>
      <c r="G230" s="10" t="s">
        <v>949</v>
      </c>
      <c r="H230" s="10" t="s">
        <v>206</v>
      </c>
      <c r="I230" s="10" t="s">
        <v>58</v>
      </c>
      <c r="J230" s="12" t="n">
        <v>1</v>
      </c>
      <c r="K230" s="13" t="s">
        <v>68</v>
      </c>
      <c r="L230" s="13" t="s">
        <v>31</v>
      </c>
      <c r="M230" s="13"/>
      <c r="N230" s="13"/>
      <c r="O230" s="13"/>
      <c r="P230" s="14" t="s">
        <v>950</v>
      </c>
      <c r="Q230" s="15" t="s">
        <v>60</v>
      </c>
      <c r="R230" s="14" t="s">
        <v>61</v>
      </c>
    </row>
    <row r="231" customFormat="false" ht="42" hidden="false" customHeight="true" outlineLevel="0" collapsed="false">
      <c r="A231" s="16" t="n">
        <v>230</v>
      </c>
      <c r="B231" s="16" t="s">
        <v>951</v>
      </c>
      <c r="C231" s="16" t="s">
        <v>926</v>
      </c>
      <c r="D231" s="16" t="s">
        <v>179</v>
      </c>
      <c r="E231" s="16" t="s">
        <v>952</v>
      </c>
      <c r="F231" s="16" t="s">
        <v>928</v>
      </c>
      <c r="G231" s="16" t="s">
        <v>953</v>
      </c>
      <c r="H231" s="16" t="s">
        <v>276</v>
      </c>
      <c r="I231" s="16" t="s">
        <v>58</v>
      </c>
      <c r="J231" s="16" t="n">
        <v>2</v>
      </c>
      <c r="K231" s="17" t="s">
        <v>68</v>
      </c>
      <c r="L231" s="17" t="s">
        <v>31</v>
      </c>
      <c r="M231" s="17"/>
      <c r="N231" s="17"/>
      <c r="O231" s="17"/>
      <c r="P231" s="18" t="s">
        <v>954</v>
      </c>
      <c r="Q231" s="15" t="s">
        <v>60</v>
      </c>
      <c r="R231" s="18" t="s">
        <v>61</v>
      </c>
    </row>
    <row r="232" customFormat="false" ht="42" hidden="false" customHeight="true" outlineLevel="0" collapsed="false">
      <c r="A232" s="10" t="n">
        <v>231</v>
      </c>
      <c r="B232" s="10" t="s">
        <v>955</v>
      </c>
      <c r="C232" s="10" t="s">
        <v>926</v>
      </c>
      <c r="D232" s="10" t="s">
        <v>179</v>
      </c>
      <c r="E232" s="10" t="s">
        <v>956</v>
      </c>
      <c r="F232" s="10" t="s">
        <v>756</v>
      </c>
      <c r="G232" s="10" t="s">
        <v>957</v>
      </c>
      <c r="H232" s="10" t="s">
        <v>159</v>
      </c>
      <c r="I232" s="10" t="s">
        <v>58</v>
      </c>
      <c r="J232" s="10" t="n">
        <v>2</v>
      </c>
      <c r="K232" s="13" t="s">
        <v>68</v>
      </c>
      <c r="L232" s="13" t="s">
        <v>31</v>
      </c>
      <c r="M232" s="13"/>
      <c r="N232" s="13"/>
      <c r="O232" s="13"/>
      <c r="P232" s="14" t="s">
        <v>958</v>
      </c>
      <c r="Q232" s="15" t="s">
        <v>60</v>
      </c>
      <c r="R232" s="14" t="s">
        <v>61</v>
      </c>
    </row>
    <row r="233" customFormat="false" ht="42" hidden="false" customHeight="true" outlineLevel="0" collapsed="false">
      <c r="A233" s="16" t="n">
        <v>232</v>
      </c>
      <c r="B233" s="16" t="s">
        <v>959</v>
      </c>
      <c r="C233" s="16" t="s">
        <v>926</v>
      </c>
      <c r="D233" s="16" t="s">
        <v>179</v>
      </c>
      <c r="E233" s="16" t="s">
        <v>960</v>
      </c>
      <c r="F233" s="16" t="s">
        <v>961</v>
      </c>
      <c r="G233" s="16" t="s">
        <v>962</v>
      </c>
      <c r="H233" s="16" t="s">
        <v>312</v>
      </c>
      <c r="I233" s="16" t="s">
        <v>58</v>
      </c>
      <c r="J233" s="16" t="n">
        <v>2</v>
      </c>
      <c r="K233" s="17" t="s">
        <v>58</v>
      </c>
      <c r="L233" s="17" t="s">
        <v>31</v>
      </c>
      <c r="M233" s="17"/>
      <c r="N233" s="17"/>
      <c r="O233" s="17"/>
      <c r="P233" s="18" t="s">
        <v>963</v>
      </c>
      <c r="Q233" s="15" t="s">
        <v>60</v>
      </c>
      <c r="R233" s="18" t="s">
        <v>61</v>
      </c>
    </row>
    <row r="234" customFormat="false" ht="42" hidden="false" customHeight="true" outlineLevel="0" collapsed="false">
      <c r="A234" s="10" t="n">
        <v>233</v>
      </c>
      <c r="B234" s="10" t="s">
        <v>964</v>
      </c>
      <c r="C234" s="10" t="s">
        <v>926</v>
      </c>
      <c r="D234" s="10" t="s">
        <v>965</v>
      </c>
      <c r="E234" s="10" t="s">
        <v>53</v>
      </c>
      <c r="F234" s="10" t="s">
        <v>966</v>
      </c>
      <c r="G234" s="10" t="s">
        <v>967</v>
      </c>
      <c r="H234" s="10" t="s">
        <v>129</v>
      </c>
      <c r="I234" s="10" t="s">
        <v>58</v>
      </c>
      <c r="J234" s="10" t="n">
        <v>2</v>
      </c>
      <c r="K234" s="13" t="s">
        <v>58</v>
      </c>
      <c r="L234" s="13" t="s">
        <v>31</v>
      </c>
      <c r="M234" s="13"/>
      <c r="N234" s="13"/>
      <c r="O234" s="13"/>
      <c r="P234" s="14" t="s">
        <v>968</v>
      </c>
      <c r="Q234" s="15" t="s">
        <v>60</v>
      </c>
      <c r="R234" s="14" t="s">
        <v>61</v>
      </c>
    </row>
    <row r="235" customFormat="false" ht="42" hidden="false" customHeight="true" outlineLevel="0" collapsed="false">
      <c r="A235" s="16" t="n">
        <v>234</v>
      </c>
      <c r="B235" s="16" t="s">
        <v>969</v>
      </c>
      <c r="C235" s="16" t="s">
        <v>926</v>
      </c>
      <c r="D235" s="16" t="s">
        <v>179</v>
      </c>
      <c r="E235" s="16" t="s">
        <v>53</v>
      </c>
      <c r="F235" s="16" t="s">
        <v>970</v>
      </c>
      <c r="G235" s="16" t="s">
        <v>971</v>
      </c>
      <c r="H235" s="16" t="s">
        <v>159</v>
      </c>
      <c r="I235" s="16" t="s">
        <v>58</v>
      </c>
      <c r="J235" s="16" t="n">
        <v>2</v>
      </c>
      <c r="K235" s="17" t="s">
        <v>68</v>
      </c>
      <c r="L235" s="17" t="s">
        <v>31</v>
      </c>
      <c r="M235" s="17"/>
      <c r="N235" s="17"/>
      <c r="O235" s="17"/>
      <c r="P235" s="18" t="s">
        <v>972</v>
      </c>
      <c r="Q235" s="16" t="s">
        <v>76</v>
      </c>
      <c r="R235" s="18" t="s">
        <v>61</v>
      </c>
    </row>
    <row r="236" customFormat="false" ht="42" hidden="false" customHeight="true" outlineLevel="0" collapsed="false">
      <c r="A236" s="10" t="n">
        <v>235</v>
      </c>
      <c r="B236" s="10" t="s">
        <v>973</v>
      </c>
      <c r="C236" s="10" t="s">
        <v>926</v>
      </c>
      <c r="D236" s="10" t="s">
        <v>179</v>
      </c>
      <c r="E236" s="10" t="s">
        <v>53</v>
      </c>
      <c r="F236" s="10" t="s">
        <v>151</v>
      </c>
      <c r="G236" s="10" t="s">
        <v>974</v>
      </c>
      <c r="H236" s="10" t="s">
        <v>119</v>
      </c>
      <c r="I236" s="10" t="s">
        <v>58</v>
      </c>
      <c r="J236" s="10" t="n">
        <v>2</v>
      </c>
      <c r="K236" s="13" t="s">
        <v>68</v>
      </c>
      <c r="L236" s="13" t="s">
        <v>31</v>
      </c>
      <c r="M236" s="13"/>
      <c r="N236" s="13"/>
      <c r="O236" s="13"/>
      <c r="P236" s="14" t="s">
        <v>975</v>
      </c>
      <c r="Q236" s="10" t="s">
        <v>76</v>
      </c>
      <c r="R236" s="14" t="s">
        <v>61</v>
      </c>
    </row>
    <row r="237" customFormat="false" ht="42" hidden="false" customHeight="true" outlineLevel="0" collapsed="false">
      <c r="A237" s="16" t="n">
        <v>236</v>
      </c>
      <c r="B237" s="16" t="s">
        <v>976</v>
      </c>
      <c r="C237" s="16" t="s">
        <v>926</v>
      </c>
      <c r="D237" s="16" t="s">
        <v>179</v>
      </c>
      <c r="E237" s="16" t="s">
        <v>53</v>
      </c>
      <c r="F237" s="16" t="s">
        <v>151</v>
      </c>
      <c r="G237" s="16"/>
      <c r="H237" s="16" t="s">
        <v>119</v>
      </c>
      <c r="I237" s="16" t="s">
        <v>58</v>
      </c>
      <c r="J237" s="16" t="n">
        <v>2</v>
      </c>
      <c r="K237" s="17" t="s">
        <v>68</v>
      </c>
      <c r="L237" s="17" t="s">
        <v>31</v>
      </c>
      <c r="M237" s="17"/>
      <c r="N237" s="17"/>
      <c r="O237" s="17"/>
      <c r="P237" s="18" t="s">
        <v>977</v>
      </c>
      <c r="Q237" s="15" t="s">
        <v>60</v>
      </c>
      <c r="R237" s="18" t="s">
        <v>61</v>
      </c>
    </row>
    <row r="238" customFormat="false" ht="42" hidden="false" customHeight="true" outlineLevel="0" collapsed="false">
      <c r="A238" s="10" t="n">
        <v>237</v>
      </c>
      <c r="B238" s="10" t="s">
        <v>978</v>
      </c>
      <c r="C238" s="10" t="s">
        <v>926</v>
      </c>
      <c r="D238" s="10" t="s">
        <v>179</v>
      </c>
      <c r="E238" s="10" t="s">
        <v>979</v>
      </c>
      <c r="F238" s="10" t="s">
        <v>151</v>
      </c>
      <c r="G238" s="10" t="s">
        <v>980</v>
      </c>
      <c r="H238" s="10" t="s">
        <v>159</v>
      </c>
      <c r="I238" s="10" t="s">
        <v>58</v>
      </c>
      <c r="J238" s="10" t="n">
        <v>3</v>
      </c>
      <c r="K238" s="13" t="s">
        <v>58</v>
      </c>
      <c r="L238" s="13" t="s">
        <v>31</v>
      </c>
      <c r="M238" s="13"/>
      <c r="N238" s="13"/>
      <c r="O238" s="13"/>
      <c r="P238" s="14" t="s">
        <v>981</v>
      </c>
      <c r="Q238" s="15" t="s">
        <v>60</v>
      </c>
      <c r="R238" s="14" t="s">
        <v>61</v>
      </c>
    </row>
    <row r="239" customFormat="false" ht="42" hidden="false" customHeight="true" outlineLevel="0" collapsed="false">
      <c r="A239" s="16" t="n">
        <v>238</v>
      </c>
      <c r="B239" s="16" t="s">
        <v>982</v>
      </c>
      <c r="C239" s="16" t="s">
        <v>926</v>
      </c>
      <c r="D239" s="16" t="s">
        <v>179</v>
      </c>
      <c r="E239" s="16" t="s">
        <v>53</v>
      </c>
      <c r="F239" s="16" t="s">
        <v>151</v>
      </c>
      <c r="G239" s="16" t="s">
        <v>983</v>
      </c>
      <c r="H239" s="16" t="s">
        <v>159</v>
      </c>
      <c r="I239" s="16" t="s">
        <v>58</v>
      </c>
      <c r="J239" s="16" t="n">
        <v>3</v>
      </c>
      <c r="K239" s="17" t="s">
        <v>68</v>
      </c>
      <c r="L239" s="17" t="s">
        <v>31</v>
      </c>
      <c r="M239" s="17"/>
      <c r="N239" s="17"/>
      <c r="O239" s="17"/>
      <c r="P239" s="18" t="s">
        <v>984</v>
      </c>
      <c r="Q239" s="16" t="s">
        <v>76</v>
      </c>
      <c r="R239" s="18" t="s">
        <v>61</v>
      </c>
    </row>
    <row r="240" customFormat="false" ht="42" hidden="false" customHeight="true" outlineLevel="0" collapsed="false">
      <c r="A240" s="10" t="n">
        <v>239</v>
      </c>
      <c r="B240" s="10" t="s">
        <v>985</v>
      </c>
      <c r="C240" s="10" t="s">
        <v>926</v>
      </c>
      <c r="D240" s="10" t="s">
        <v>179</v>
      </c>
      <c r="E240" s="10" t="s">
        <v>53</v>
      </c>
      <c r="F240" s="10" t="s">
        <v>151</v>
      </c>
      <c r="G240" s="10"/>
      <c r="H240" s="10" t="s">
        <v>159</v>
      </c>
      <c r="I240" s="10" t="s">
        <v>58</v>
      </c>
      <c r="J240" s="10" t="n">
        <v>3</v>
      </c>
      <c r="K240" s="13" t="s">
        <v>68</v>
      </c>
      <c r="L240" s="13" t="s">
        <v>31</v>
      </c>
      <c r="M240" s="13"/>
      <c r="N240" s="13"/>
      <c r="O240" s="13"/>
      <c r="P240" s="14" t="s">
        <v>986</v>
      </c>
      <c r="Q240" s="10" t="s">
        <v>76</v>
      </c>
      <c r="R240" s="14" t="s">
        <v>61</v>
      </c>
    </row>
    <row r="241" customFormat="false" ht="42" hidden="false" customHeight="true" outlineLevel="0" collapsed="false">
      <c r="A241" s="16" t="n">
        <v>240</v>
      </c>
      <c r="B241" s="16" t="s">
        <v>987</v>
      </c>
      <c r="C241" s="16" t="s">
        <v>926</v>
      </c>
      <c r="D241" s="16" t="s">
        <v>179</v>
      </c>
      <c r="E241" s="16" t="s">
        <v>310</v>
      </c>
      <c r="F241" s="16" t="s">
        <v>928</v>
      </c>
      <c r="G241" s="16" t="s">
        <v>988</v>
      </c>
      <c r="H241" s="16" t="s">
        <v>989</v>
      </c>
      <c r="I241" s="16" t="s">
        <v>58</v>
      </c>
      <c r="J241" s="16" t="n">
        <v>3</v>
      </c>
      <c r="K241" s="17" t="s">
        <v>58</v>
      </c>
      <c r="L241" s="17" t="s">
        <v>31</v>
      </c>
      <c r="M241" s="17"/>
      <c r="N241" s="17"/>
      <c r="O241" s="17"/>
      <c r="P241" s="18" t="s">
        <v>990</v>
      </c>
      <c r="Q241" s="15" t="s">
        <v>60</v>
      </c>
      <c r="R241" s="18" t="s">
        <v>61</v>
      </c>
    </row>
    <row r="242" customFormat="false" ht="42" hidden="false" customHeight="true" outlineLevel="0" collapsed="false">
      <c r="A242" s="10" t="n">
        <v>241</v>
      </c>
      <c r="B242" s="10" t="s">
        <v>991</v>
      </c>
      <c r="C242" s="10" t="s">
        <v>926</v>
      </c>
      <c r="D242" s="10" t="s">
        <v>179</v>
      </c>
      <c r="E242" s="10" t="s">
        <v>992</v>
      </c>
      <c r="F242" s="10" t="s">
        <v>928</v>
      </c>
      <c r="G242" s="10" t="s">
        <v>993</v>
      </c>
      <c r="H242" s="10" t="s">
        <v>159</v>
      </c>
      <c r="I242" s="10" t="s">
        <v>58</v>
      </c>
      <c r="J242" s="10" t="n">
        <v>3</v>
      </c>
      <c r="K242" s="13" t="s">
        <v>58</v>
      </c>
      <c r="L242" s="13" t="s">
        <v>31</v>
      </c>
      <c r="M242" s="13"/>
      <c r="N242" s="13"/>
      <c r="O242" s="13"/>
      <c r="P242" s="14" t="s">
        <v>994</v>
      </c>
      <c r="Q242" s="15" t="s">
        <v>60</v>
      </c>
      <c r="R242" s="14" t="s">
        <v>61</v>
      </c>
    </row>
    <row r="243" customFormat="false" ht="42" hidden="false" customHeight="true" outlineLevel="0" collapsed="false">
      <c r="A243" s="16" t="n">
        <v>242</v>
      </c>
      <c r="B243" s="16" t="s">
        <v>995</v>
      </c>
      <c r="C243" s="16" t="s">
        <v>926</v>
      </c>
      <c r="D243" s="16" t="s">
        <v>179</v>
      </c>
      <c r="E243" s="16" t="s">
        <v>996</v>
      </c>
      <c r="F243" s="16" t="s">
        <v>151</v>
      </c>
      <c r="G243" s="16" t="s">
        <v>997</v>
      </c>
      <c r="H243" s="16" t="s">
        <v>312</v>
      </c>
      <c r="I243" s="16" t="s">
        <v>58</v>
      </c>
      <c r="J243" s="16" t="n">
        <v>3</v>
      </c>
      <c r="K243" s="17" t="s">
        <v>58</v>
      </c>
      <c r="L243" s="17" t="s">
        <v>31</v>
      </c>
      <c r="M243" s="17"/>
      <c r="N243" s="17"/>
      <c r="O243" s="17"/>
      <c r="P243" s="18" t="s">
        <v>998</v>
      </c>
      <c r="Q243" s="15" t="s">
        <v>60</v>
      </c>
      <c r="R243" s="18" t="s">
        <v>61</v>
      </c>
    </row>
    <row r="244" customFormat="false" ht="42" hidden="false" customHeight="true" outlineLevel="0" collapsed="false">
      <c r="A244" s="10" t="n">
        <v>243</v>
      </c>
      <c r="B244" s="10" t="s">
        <v>999</v>
      </c>
      <c r="C244" s="10" t="s">
        <v>926</v>
      </c>
      <c r="D244" s="10" t="s">
        <v>179</v>
      </c>
      <c r="E244" s="10" t="s">
        <v>53</v>
      </c>
      <c r="F244" s="10" t="s">
        <v>151</v>
      </c>
      <c r="G244" s="10"/>
      <c r="H244" s="10" t="s">
        <v>129</v>
      </c>
      <c r="I244" s="10" t="s">
        <v>58</v>
      </c>
      <c r="J244" s="10" t="n">
        <v>3</v>
      </c>
      <c r="K244" s="13" t="s">
        <v>68</v>
      </c>
      <c r="L244" s="13" t="s">
        <v>31</v>
      </c>
      <c r="M244" s="13"/>
      <c r="N244" s="13"/>
      <c r="O244" s="13"/>
      <c r="P244" s="14" t="s">
        <v>1000</v>
      </c>
      <c r="Q244" s="15" t="s">
        <v>60</v>
      </c>
      <c r="R244" s="14" t="s">
        <v>61</v>
      </c>
    </row>
    <row r="245" customFormat="false" ht="42" hidden="false" customHeight="true" outlineLevel="0" collapsed="false">
      <c r="A245" s="16" t="n">
        <v>244</v>
      </c>
      <c r="B245" s="16" t="s">
        <v>1001</v>
      </c>
      <c r="C245" s="16" t="s">
        <v>926</v>
      </c>
      <c r="D245" s="16" t="s">
        <v>179</v>
      </c>
      <c r="E245" s="16" t="s">
        <v>1002</v>
      </c>
      <c r="F245" s="16" t="s">
        <v>151</v>
      </c>
      <c r="G245" s="16"/>
      <c r="H245" s="16" t="s">
        <v>159</v>
      </c>
      <c r="I245" s="16" t="s">
        <v>58</v>
      </c>
      <c r="J245" s="16" t="n">
        <v>3</v>
      </c>
      <c r="K245" s="17" t="s">
        <v>68</v>
      </c>
      <c r="L245" s="17" t="s">
        <v>31</v>
      </c>
      <c r="M245" s="17"/>
      <c r="N245" s="17"/>
      <c r="O245" s="17"/>
      <c r="P245" s="18" t="s">
        <v>1003</v>
      </c>
      <c r="Q245" s="15" t="s">
        <v>60</v>
      </c>
      <c r="R245" s="18" t="s">
        <v>61</v>
      </c>
    </row>
    <row r="246" customFormat="false" ht="42" hidden="false" customHeight="true" outlineLevel="0" collapsed="false">
      <c r="A246" s="10" t="n">
        <v>245</v>
      </c>
      <c r="B246" s="10" t="s">
        <v>1004</v>
      </c>
      <c r="C246" s="10" t="s">
        <v>926</v>
      </c>
      <c r="D246" s="10" t="s">
        <v>179</v>
      </c>
      <c r="E246" s="10" t="s">
        <v>956</v>
      </c>
      <c r="F246" s="10" t="s">
        <v>928</v>
      </c>
      <c r="G246" s="10"/>
      <c r="H246" s="10" t="s">
        <v>159</v>
      </c>
      <c r="I246" s="10" t="s">
        <v>58</v>
      </c>
      <c r="J246" s="10" t="n">
        <v>3</v>
      </c>
      <c r="K246" s="13" t="s">
        <v>68</v>
      </c>
      <c r="L246" s="13" t="s">
        <v>31</v>
      </c>
      <c r="M246" s="13"/>
      <c r="N246" s="13"/>
      <c r="O246" s="13"/>
      <c r="P246" s="14" t="s">
        <v>1005</v>
      </c>
      <c r="Q246" s="15" t="s">
        <v>60</v>
      </c>
      <c r="R246" s="14" t="s">
        <v>61</v>
      </c>
    </row>
    <row r="247" customFormat="false" ht="42" hidden="false" customHeight="true" outlineLevel="0" collapsed="false">
      <c r="A247" s="16" t="n">
        <v>246</v>
      </c>
      <c r="B247" s="19" t="s">
        <v>1006</v>
      </c>
      <c r="C247" s="16" t="s">
        <v>1007</v>
      </c>
      <c r="D247" s="16" t="s">
        <v>1008</v>
      </c>
      <c r="E247" s="16" t="s">
        <v>53</v>
      </c>
      <c r="F247" s="16" t="s">
        <v>712</v>
      </c>
      <c r="G247" s="16" t="s">
        <v>1009</v>
      </c>
      <c r="H247" s="16" t="s">
        <v>989</v>
      </c>
      <c r="I247" s="16" t="s">
        <v>58</v>
      </c>
      <c r="J247" s="12" t="n">
        <v>1</v>
      </c>
      <c r="K247" s="17" t="s">
        <v>68</v>
      </c>
      <c r="L247" s="17" t="s">
        <v>31</v>
      </c>
      <c r="M247" s="17"/>
      <c r="N247" s="17"/>
      <c r="O247" s="17"/>
      <c r="P247" s="18" t="s">
        <v>1010</v>
      </c>
      <c r="Q247" s="16" t="s">
        <v>76</v>
      </c>
      <c r="R247" s="18" t="s">
        <v>61</v>
      </c>
    </row>
    <row r="248" customFormat="false" ht="42" hidden="false" customHeight="true" outlineLevel="0" collapsed="false">
      <c r="A248" s="10" t="n">
        <v>247</v>
      </c>
      <c r="B248" s="11" t="s">
        <v>1011</v>
      </c>
      <c r="C248" s="10" t="s">
        <v>1007</v>
      </c>
      <c r="D248" s="10" t="s">
        <v>1008</v>
      </c>
      <c r="E248" s="10" t="s">
        <v>53</v>
      </c>
      <c r="F248" s="10" t="s">
        <v>712</v>
      </c>
      <c r="G248" s="10" t="s">
        <v>1012</v>
      </c>
      <c r="H248" s="10" t="s">
        <v>312</v>
      </c>
      <c r="I248" s="10" t="s">
        <v>58</v>
      </c>
      <c r="J248" s="12" t="n">
        <v>1</v>
      </c>
      <c r="K248" s="13" t="s">
        <v>68</v>
      </c>
      <c r="L248" s="13" t="s">
        <v>31</v>
      </c>
      <c r="M248" s="13"/>
      <c r="N248" s="13"/>
      <c r="O248" s="13"/>
      <c r="P248" s="14" t="s">
        <v>1013</v>
      </c>
      <c r="Q248" s="10" t="s">
        <v>76</v>
      </c>
      <c r="R248" s="14" t="s">
        <v>61</v>
      </c>
    </row>
    <row r="249" customFormat="false" ht="42" hidden="false" customHeight="true" outlineLevel="0" collapsed="false">
      <c r="A249" s="16" t="n">
        <v>248</v>
      </c>
      <c r="B249" s="16" t="s">
        <v>1014</v>
      </c>
      <c r="C249" s="16" t="s">
        <v>1007</v>
      </c>
      <c r="D249" s="16" t="s">
        <v>1015</v>
      </c>
      <c r="E249" s="16" t="s">
        <v>53</v>
      </c>
      <c r="F249" s="16" t="s">
        <v>419</v>
      </c>
      <c r="G249" s="16" t="s">
        <v>1016</v>
      </c>
      <c r="H249" s="16" t="s">
        <v>87</v>
      </c>
      <c r="I249" s="16" t="s">
        <v>58</v>
      </c>
      <c r="J249" s="16" t="n">
        <v>2</v>
      </c>
      <c r="K249" s="17" t="s">
        <v>58</v>
      </c>
      <c r="L249" s="17" t="s">
        <v>31</v>
      </c>
      <c r="M249" s="17"/>
      <c r="N249" s="17"/>
      <c r="O249" s="17"/>
      <c r="P249" s="18" t="s">
        <v>1017</v>
      </c>
      <c r="Q249" s="15" t="s">
        <v>60</v>
      </c>
      <c r="R249" s="18" t="s">
        <v>61</v>
      </c>
    </row>
    <row r="250" customFormat="false" ht="42" hidden="false" customHeight="true" outlineLevel="0" collapsed="false">
      <c r="A250" s="10" t="n">
        <v>249</v>
      </c>
      <c r="B250" s="10" t="s">
        <v>1018</v>
      </c>
      <c r="C250" s="10" t="s">
        <v>1007</v>
      </c>
      <c r="D250" s="10" t="s">
        <v>754</v>
      </c>
      <c r="E250" s="10" t="s">
        <v>53</v>
      </c>
      <c r="F250" s="10" t="s">
        <v>406</v>
      </c>
      <c r="G250" s="10" t="s">
        <v>1019</v>
      </c>
      <c r="H250" s="10" t="s">
        <v>1020</v>
      </c>
      <c r="I250" s="10" t="s">
        <v>58</v>
      </c>
      <c r="J250" s="10" t="n">
        <v>2</v>
      </c>
      <c r="K250" s="13" t="s">
        <v>68</v>
      </c>
      <c r="L250" s="13" t="s">
        <v>31</v>
      </c>
      <c r="M250" s="13"/>
      <c r="N250" s="13"/>
      <c r="O250" s="13"/>
      <c r="P250" s="14" t="s">
        <v>1021</v>
      </c>
      <c r="Q250" s="10" t="s">
        <v>76</v>
      </c>
      <c r="R250" s="14" t="s">
        <v>61</v>
      </c>
    </row>
    <row r="251" customFormat="false" ht="42" hidden="false" customHeight="true" outlineLevel="0" collapsed="false">
      <c r="A251" s="16" t="n">
        <v>250</v>
      </c>
      <c r="B251" s="16" t="s">
        <v>1022</v>
      </c>
      <c r="C251" s="16" t="s">
        <v>1007</v>
      </c>
      <c r="D251" s="16" t="s">
        <v>1023</v>
      </c>
      <c r="E251" s="16" t="s">
        <v>53</v>
      </c>
      <c r="F251" s="16" t="s">
        <v>524</v>
      </c>
      <c r="G251" s="16" t="s">
        <v>1024</v>
      </c>
      <c r="H251" s="16" t="s">
        <v>243</v>
      </c>
      <c r="I251" s="16" t="s">
        <v>58</v>
      </c>
      <c r="J251" s="16" t="n">
        <v>2</v>
      </c>
      <c r="K251" s="17" t="s">
        <v>58</v>
      </c>
      <c r="L251" s="17" t="s">
        <v>31</v>
      </c>
      <c r="M251" s="17"/>
      <c r="N251" s="17"/>
      <c r="O251" s="17"/>
      <c r="P251" s="18" t="s">
        <v>1025</v>
      </c>
      <c r="Q251" s="15" t="s">
        <v>60</v>
      </c>
      <c r="R251" s="18" t="s">
        <v>61</v>
      </c>
    </row>
    <row r="252" customFormat="false" ht="42" hidden="false" customHeight="true" outlineLevel="0" collapsed="false">
      <c r="A252" s="10" t="n">
        <v>251</v>
      </c>
      <c r="B252" s="10" t="s">
        <v>1026</v>
      </c>
      <c r="C252" s="10" t="s">
        <v>1007</v>
      </c>
      <c r="D252" s="10" t="s">
        <v>754</v>
      </c>
      <c r="E252" s="10" t="s">
        <v>53</v>
      </c>
      <c r="F252" s="10" t="s">
        <v>791</v>
      </c>
      <c r="G252" s="10" t="s">
        <v>1027</v>
      </c>
      <c r="H252" s="10" t="s">
        <v>129</v>
      </c>
      <c r="I252" s="10" t="s">
        <v>58</v>
      </c>
      <c r="J252" s="10" t="n">
        <v>2</v>
      </c>
      <c r="K252" s="13" t="s">
        <v>68</v>
      </c>
      <c r="L252" s="13" t="s">
        <v>31</v>
      </c>
      <c r="M252" s="13"/>
      <c r="N252" s="13"/>
      <c r="O252" s="13"/>
      <c r="P252" s="14" t="s">
        <v>1028</v>
      </c>
      <c r="Q252" s="10" t="s">
        <v>76</v>
      </c>
      <c r="R252" s="14" t="s">
        <v>61</v>
      </c>
    </row>
    <row r="253" customFormat="false" ht="42" hidden="false" customHeight="true" outlineLevel="0" collapsed="false">
      <c r="A253" s="16" t="n">
        <v>252</v>
      </c>
      <c r="B253" s="16" t="s">
        <v>1029</v>
      </c>
      <c r="C253" s="16" t="s">
        <v>1007</v>
      </c>
      <c r="D253" s="16" t="s">
        <v>1008</v>
      </c>
      <c r="E253" s="16" t="s">
        <v>53</v>
      </c>
      <c r="F253" s="16" t="s">
        <v>712</v>
      </c>
      <c r="G253" s="16" t="s">
        <v>1030</v>
      </c>
      <c r="H253" s="16" t="s">
        <v>312</v>
      </c>
      <c r="I253" s="16" t="s">
        <v>58</v>
      </c>
      <c r="J253" s="16" t="n">
        <v>2</v>
      </c>
      <c r="K253" s="17" t="s">
        <v>68</v>
      </c>
      <c r="L253" s="17" t="s">
        <v>31</v>
      </c>
      <c r="M253" s="17"/>
      <c r="N253" s="17"/>
      <c r="O253" s="17"/>
      <c r="P253" s="18" t="s">
        <v>1031</v>
      </c>
      <c r="Q253" s="16" t="s">
        <v>76</v>
      </c>
      <c r="R253" s="18" t="s">
        <v>61</v>
      </c>
    </row>
    <row r="254" customFormat="false" ht="42" hidden="false" customHeight="true" outlineLevel="0" collapsed="false">
      <c r="A254" s="10" t="n">
        <v>253</v>
      </c>
      <c r="B254" s="10" t="s">
        <v>1032</v>
      </c>
      <c r="C254" s="10" t="s">
        <v>1007</v>
      </c>
      <c r="D254" s="10" t="s">
        <v>1008</v>
      </c>
      <c r="E254" s="10" t="s">
        <v>53</v>
      </c>
      <c r="F254" s="10" t="s">
        <v>712</v>
      </c>
      <c r="G254" s="10" t="s">
        <v>1033</v>
      </c>
      <c r="H254" s="10" t="s">
        <v>312</v>
      </c>
      <c r="I254" s="10" t="s">
        <v>58</v>
      </c>
      <c r="J254" s="10" t="n">
        <v>2</v>
      </c>
      <c r="K254" s="13" t="s">
        <v>68</v>
      </c>
      <c r="L254" s="13" t="s">
        <v>31</v>
      </c>
      <c r="M254" s="13"/>
      <c r="N254" s="13"/>
      <c r="O254" s="13"/>
      <c r="P254" s="14" t="s">
        <v>1034</v>
      </c>
      <c r="Q254" s="10" t="s">
        <v>76</v>
      </c>
      <c r="R254" s="14" t="s">
        <v>61</v>
      </c>
    </row>
    <row r="255" customFormat="false" ht="42" hidden="false" customHeight="true" outlineLevel="0" collapsed="false">
      <c r="A255" s="16" t="n">
        <v>254</v>
      </c>
      <c r="B255" s="16" t="s">
        <v>1035</v>
      </c>
      <c r="C255" s="16" t="s">
        <v>1007</v>
      </c>
      <c r="D255" s="16" t="s">
        <v>754</v>
      </c>
      <c r="E255" s="16" t="s">
        <v>53</v>
      </c>
      <c r="F255" s="16" t="s">
        <v>251</v>
      </c>
      <c r="G255" s="16" t="s">
        <v>1036</v>
      </c>
      <c r="H255" s="16" t="s">
        <v>159</v>
      </c>
      <c r="I255" s="16" t="s">
        <v>58</v>
      </c>
      <c r="J255" s="16" t="n">
        <v>3</v>
      </c>
      <c r="K255" s="17" t="s">
        <v>68</v>
      </c>
      <c r="L255" s="17" t="s">
        <v>31</v>
      </c>
      <c r="M255" s="17"/>
      <c r="N255" s="17"/>
      <c r="O255" s="17"/>
      <c r="P255" s="18" t="s">
        <v>1037</v>
      </c>
      <c r="Q255" s="15" t="s">
        <v>60</v>
      </c>
      <c r="R255" s="18" t="s">
        <v>61</v>
      </c>
    </row>
    <row r="256" customFormat="false" ht="42" hidden="false" customHeight="true" outlineLevel="0" collapsed="false">
      <c r="A256" s="10" t="n">
        <v>255</v>
      </c>
      <c r="B256" s="10" t="s">
        <v>1038</v>
      </c>
      <c r="C256" s="10" t="s">
        <v>1007</v>
      </c>
      <c r="D256" s="10" t="s">
        <v>754</v>
      </c>
      <c r="E256" s="10" t="s">
        <v>53</v>
      </c>
      <c r="F256" s="10" t="s">
        <v>251</v>
      </c>
      <c r="G256" s="10"/>
      <c r="H256" s="10" t="s">
        <v>159</v>
      </c>
      <c r="I256" s="10" t="s">
        <v>58</v>
      </c>
      <c r="J256" s="10" t="n">
        <v>3</v>
      </c>
      <c r="K256" s="13" t="s">
        <v>68</v>
      </c>
      <c r="L256" s="13" t="s">
        <v>31</v>
      </c>
      <c r="M256" s="13"/>
      <c r="N256" s="13"/>
      <c r="O256" s="13"/>
      <c r="P256" s="14" t="s">
        <v>1039</v>
      </c>
      <c r="Q256" s="15" t="s">
        <v>60</v>
      </c>
      <c r="R256" s="14" t="s">
        <v>61</v>
      </c>
    </row>
    <row r="257" customFormat="false" ht="42" hidden="false" customHeight="true" outlineLevel="0" collapsed="false">
      <c r="A257" s="16" t="n">
        <v>256</v>
      </c>
      <c r="B257" s="16" t="s">
        <v>1040</v>
      </c>
      <c r="C257" s="16" t="s">
        <v>1007</v>
      </c>
      <c r="D257" s="16" t="s">
        <v>754</v>
      </c>
      <c r="E257" s="16" t="s">
        <v>53</v>
      </c>
      <c r="F257" s="16" t="s">
        <v>251</v>
      </c>
      <c r="G257" s="16"/>
      <c r="H257" s="16" t="s">
        <v>159</v>
      </c>
      <c r="I257" s="16" t="s">
        <v>58</v>
      </c>
      <c r="J257" s="16" t="n">
        <v>3</v>
      </c>
      <c r="K257" s="17" t="s">
        <v>68</v>
      </c>
      <c r="L257" s="17" t="s">
        <v>31</v>
      </c>
      <c r="M257" s="17"/>
      <c r="N257" s="17"/>
      <c r="O257" s="17"/>
      <c r="P257" s="18" t="s">
        <v>1041</v>
      </c>
      <c r="Q257" s="15" t="s">
        <v>60</v>
      </c>
      <c r="R257" s="18" t="s">
        <v>61</v>
      </c>
    </row>
    <row r="258" customFormat="false" ht="42" hidden="false" customHeight="true" outlineLevel="0" collapsed="false">
      <c r="A258" s="10" t="n">
        <v>257</v>
      </c>
      <c r="B258" s="10" t="s">
        <v>1042</v>
      </c>
      <c r="C258" s="10" t="s">
        <v>1007</v>
      </c>
      <c r="D258" s="10" t="s">
        <v>754</v>
      </c>
      <c r="E258" s="10" t="s">
        <v>53</v>
      </c>
      <c r="F258" s="10" t="s">
        <v>251</v>
      </c>
      <c r="G258" s="10"/>
      <c r="H258" s="10" t="s">
        <v>159</v>
      </c>
      <c r="I258" s="10" t="s">
        <v>58</v>
      </c>
      <c r="J258" s="10" t="n">
        <v>3</v>
      </c>
      <c r="K258" s="13" t="s">
        <v>68</v>
      </c>
      <c r="L258" s="13" t="s">
        <v>31</v>
      </c>
      <c r="M258" s="13"/>
      <c r="N258" s="13"/>
      <c r="O258" s="13"/>
      <c r="P258" s="14" t="s">
        <v>1043</v>
      </c>
      <c r="Q258" s="15" t="s">
        <v>60</v>
      </c>
      <c r="R258" s="14" t="s">
        <v>61</v>
      </c>
    </row>
    <row r="259" customFormat="false" ht="42" hidden="false" customHeight="true" outlineLevel="0" collapsed="false">
      <c r="A259" s="16" t="n">
        <v>258</v>
      </c>
      <c r="B259" s="16" t="s">
        <v>1044</v>
      </c>
      <c r="C259" s="16" t="s">
        <v>1007</v>
      </c>
      <c r="D259" s="16" t="s">
        <v>1015</v>
      </c>
      <c r="E259" s="16" t="s">
        <v>1045</v>
      </c>
      <c r="F259" s="16" t="s">
        <v>419</v>
      </c>
      <c r="G259" s="16" t="s">
        <v>1046</v>
      </c>
      <c r="H259" s="16" t="s">
        <v>87</v>
      </c>
      <c r="I259" s="16" t="s">
        <v>58</v>
      </c>
      <c r="J259" s="16" t="n">
        <v>3</v>
      </c>
      <c r="K259" s="17" t="s">
        <v>58</v>
      </c>
      <c r="L259" s="17" t="s">
        <v>31</v>
      </c>
      <c r="M259" s="17"/>
      <c r="N259" s="17"/>
      <c r="O259" s="17"/>
      <c r="P259" s="18" t="s">
        <v>1047</v>
      </c>
      <c r="Q259" s="15" t="s">
        <v>60</v>
      </c>
      <c r="R259" s="18" t="s">
        <v>61</v>
      </c>
    </row>
    <row r="260" customFormat="false" ht="42" hidden="false" customHeight="true" outlineLevel="0" collapsed="false">
      <c r="A260" s="10" t="n">
        <v>259</v>
      </c>
      <c r="B260" s="10" t="s">
        <v>1048</v>
      </c>
      <c r="C260" s="10" t="s">
        <v>1007</v>
      </c>
      <c r="D260" s="10" t="s">
        <v>754</v>
      </c>
      <c r="E260" s="10" t="s">
        <v>53</v>
      </c>
      <c r="F260" s="10" t="s">
        <v>251</v>
      </c>
      <c r="G260" s="10"/>
      <c r="H260" s="10" t="s">
        <v>159</v>
      </c>
      <c r="I260" s="10" t="s">
        <v>58</v>
      </c>
      <c r="J260" s="10" t="n">
        <v>3</v>
      </c>
      <c r="K260" s="13" t="s">
        <v>68</v>
      </c>
      <c r="L260" s="13" t="s">
        <v>31</v>
      </c>
      <c r="M260" s="13"/>
      <c r="N260" s="13"/>
      <c r="O260" s="13"/>
      <c r="P260" s="14" t="s">
        <v>1049</v>
      </c>
      <c r="Q260" s="10" t="s">
        <v>76</v>
      </c>
      <c r="R260" s="14" t="s">
        <v>61</v>
      </c>
    </row>
    <row r="261" customFormat="false" ht="42" hidden="false" customHeight="true" outlineLevel="0" collapsed="false">
      <c r="A261" s="16" t="n">
        <v>260</v>
      </c>
      <c r="B261" s="16" t="s">
        <v>1050</v>
      </c>
      <c r="C261" s="16" t="s">
        <v>1007</v>
      </c>
      <c r="D261" s="16" t="s">
        <v>1008</v>
      </c>
      <c r="E261" s="16" t="s">
        <v>53</v>
      </c>
      <c r="F261" s="16" t="s">
        <v>1051</v>
      </c>
      <c r="G261" s="16"/>
      <c r="H261" s="16" t="s">
        <v>1052</v>
      </c>
      <c r="I261" s="16" t="s">
        <v>58</v>
      </c>
      <c r="J261" s="16" t="n">
        <v>3</v>
      </c>
      <c r="K261" s="17" t="s">
        <v>68</v>
      </c>
      <c r="L261" s="17" t="s">
        <v>31</v>
      </c>
      <c r="M261" s="17"/>
      <c r="N261" s="17"/>
      <c r="O261" s="17"/>
      <c r="P261" s="18" t="s">
        <v>1053</v>
      </c>
      <c r="Q261" s="15" t="s">
        <v>60</v>
      </c>
      <c r="R261" s="18" t="s">
        <v>61</v>
      </c>
    </row>
    <row r="262" customFormat="false" ht="42" hidden="false" customHeight="true" outlineLevel="0" collapsed="false">
      <c r="A262" s="10" t="n">
        <v>261</v>
      </c>
      <c r="B262" s="10" t="s">
        <v>1054</v>
      </c>
      <c r="C262" s="10" t="s">
        <v>1007</v>
      </c>
      <c r="D262" s="10" t="s">
        <v>754</v>
      </c>
      <c r="E262" s="10" t="s">
        <v>53</v>
      </c>
      <c r="F262" s="10" t="s">
        <v>251</v>
      </c>
      <c r="G262" s="10" t="s">
        <v>1055</v>
      </c>
      <c r="H262" s="10" t="s">
        <v>1056</v>
      </c>
      <c r="I262" s="10" t="s">
        <v>58</v>
      </c>
      <c r="J262" s="10" t="n">
        <v>3</v>
      </c>
      <c r="K262" s="13" t="s">
        <v>68</v>
      </c>
      <c r="L262" s="13" t="s">
        <v>31</v>
      </c>
      <c r="M262" s="13"/>
      <c r="N262" s="13"/>
      <c r="O262" s="13"/>
      <c r="P262" s="14" t="s">
        <v>1057</v>
      </c>
      <c r="Q262" s="15" t="s">
        <v>60</v>
      </c>
      <c r="R262" s="14" t="s">
        <v>61</v>
      </c>
    </row>
    <row r="263" customFormat="false" ht="42" hidden="false" customHeight="true" outlineLevel="0" collapsed="false">
      <c r="A263" s="16" t="n">
        <v>262</v>
      </c>
      <c r="B263" s="16" t="s">
        <v>1058</v>
      </c>
      <c r="C263" s="16" t="s">
        <v>1007</v>
      </c>
      <c r="D263" s="16" t="s">
        <v>1023</v>
      </c>
      <c r="E263" s="16" t="s">
        <v>336</v>
      </c>
      <c r="F263" s="16" t="s">
        <v>524</v>
      </c>
      <c r="G263" s="16"/>
      <c r="H263" s="16" t="s">
        <v>129</v>
      </c>
      <c r="I263" s="16" t="s">
        <v>58</v>
      </c>
      <c r="J263" s="16" t="n">
        <v>3</v>
      </c>
      <c r="K263" s="17" t="s">
        <v>58</v>
      </c>
      <c r="L263" s="17" t="s">
        <v>31</v>
      </c>
      <c r="M263" s="17"/>
      <c r="N263" s="17"/>
      <c r="O263" s="17"/>
      <c r="P263" s="18" t="s">
        <v>1059</v>
      </c>
      <c r="Q263" s="16" t="s">
        <v>76</v>
      </c>
      <c r="R263" s="18" t="s">
        <v>61</v>
      </c>
    </row>
    <row r="264" customFormat="false" ht="42" hidden="false" customHeight="true" outlineLevel="0" collapsed="false">
      <c r="A264" s="10" t="n">
        <v>263</v>
      </c>
      <c r="B264" s="10" t="s">
        <v>1060</v>
      </c>
      <c r="C264" s="10" t="s">
        <v>1007</v>
      </c>
      <c r="D264" s="10" t="s">
        <v>1015</v>
      </c>
      <c r="E264" s="10" t="s">
        <v>53</v>
      </c>
      <c r="F264" s="10" t="s">
        <v>419</v>
      </c>
      <c r="G264" s="10" t="s">
        <v>1061</v>
      </c>
      <c r="H264" s="10" t="s">
        <v>87</v>
      </c>
      <c r="I264" s="10" t="s">
        <v>58</v>
      </c>
      <c r="J264" s="10" t="n">
        <v>3</v>
      </c>
      <c r="K264" s="13" t="s">
        <v>58</v>
      </c>
      <c r="L264" s="13" t="s">
        <v>31</v>
      </c>
      <c r="M264" s="13"/>
      <c r="N264" s="13"/>
      <c r="O264" s="13"/>
      <c r="P264" s="14" t="s">
        <v>1062</v>
      </c>
      <c r="Q264" s="15" t="s">
        <v>60</v>
      </c>
      <c r="R264" s="14" t="s">
        <v>61</v>
      </c>
    </row>
    <row r="265" customFormat="false" ht="42" hidden="false" customHeight="true" outlineLevel="0" collapsed="false">
      <c r="A265" s="16" t="n">
        <v>264</v>
      </c>
      <c r="B265" s="16" t="s">
        <v>1063</v>
      </c>
      <c r="C265" s="16" t="s">
        <v>1007</v>
      </c>
      <c r="D265" s="16" t="s">
        <v>754</v>
      </c>
      <c r="E265" s="16" t="s">
        <v>912</v>
      </c>
      <c r="F265" s="16" t="s">
        <v>251</v>
      </c>
      <c r="G265" s="16" t="s">
        <v>1064</v>
      </c>
      <c r="H265" s="16" t="s">
        <v>87</v>
      </c>
      <c r="I265" s="16" t="s">
        <v>58</v>
      </c>
      <c r="J265" s="16" t="n">
        <v>3</v>
      </c>
      <c r="K265" s="17" t="s">
        <v>68</v>
      </c>
      <c r="L265" s="17" t="s">
        <v>31</v>
      </c>
      <c r="M265" s="17"/>
      <c r="N265" s="17"/>
      <c r="O265" s="17"/>
      <c r="P265" s="18" t="s">
        <v>1065</v>
      </c>
      <c r="Q265" s="16" t="s">
        <v>76</v>
      </c>
      <c r="R265" s="18" t="s">
        <v>61</v>
      </c>
    </row>
    <row r="266" customFormat="false" ht="42" hidden="false" customHeight="true" outlineLevel="0" collapsed="false">
      <c r="A266" s="10" t="n">
        <v>265</v>
      </c>
      <c r="B266" s="10" t="s">
        <v>1066</v>
      </c>
      <c r="C266" s="10" t="s">
        <v>1007</v>
      </c>
      <c r="D266" s="10" t="s">
        <v>1023</v>
      </c>
      <c r="E266" s="10" t="s">
        <v>1067</v>
      </c>
      <c r="F266" s="10" t="s">
        <v>251</v>
      </c>
      <c r="G266" s="10" t="s">
        <v>1068</v>
      </c>
      <c r="H266" s="10" t="s">
        <v>276</v>
      </c>
      <c r="I266" s="10" t="s">
        <v>58</v>
      </c>
      <c r="J266" s="10" t="n">
        <v>3</v>
      </c>
      <c r="K266" s="13" t="s">
        <v>58</v>
      </c>
      <c r="L266" s="13" t="s">
        <v>31</v>
      </c>
      <c r="M266" s="13"/>
      <c r="N266" s="13"/>
      <c r="O266" s="13"/>
      <c r="P266" s="14" t="s">
        <v>1069</v>
      </c>
      <c r="Q266" s="10" t="s">
        <v>76</v>
      </c>
      <c r="R266" s="14" t="s">
        <v>61</v>
      </c>
    </row>
    <row r="267" customFormat="false" ht="42" hidden="false" customHeight="true" outlineLevel="0" collapsed="false">
      <c r="A267" s="16" t="n">
        <v>266</v>
      </c>
      <c r="B267" s="16" t="s">
        <v>1070</v>
      </c>
      <c r="C267" s="16" t="s">
        <v>1007</v>
      </c>
      <c r="D267" s="16" t="s">
        <v>1023</v>
      </c>
      <c r="E267" s="16" t="s">
        <v>53</v>
      </c>
      <c r="F267" s="16" t="s">
        <v>251</v>
      </c>
      <c r="G267" s="16"/>
      <c r="H267" s="16" t="s">
        <v>159</v>
      </c>
      <c r="I267" s="16" t="s">
        <v>58</v>
      </c>
      <c r="J267" s="16" t="n">
        <v>3</v>
      </c>
      <c r="K267" s="17" t="s">
        <v>58</v>
      </c>
      <c r="L267" s="17" t="s">
        <v>31</v>
      </c>
      <c r="M267" s="17"/>
      <c r="N267" s="17"/>
      <c r="O267" s="17"/>
      <c r="P267" s="18" t="s">
        <v>1071</v>
      </c>
      <c r="Q267" s="16" t="s">
        <v>76</v>
      </c>
      <c r="R267" s="18" t="s">
        <v>61</v>
      </c>
    </row>
    <row r="268" customFormat="false" ht="42" hidden="false" customHeight="true" outlineLevel="0" collapsed="false">
      <c r="A268" s="10" t="n">
        <v>267</v>
      </c>
      <c r="B268" s="11" t="s">
        <v>1072</v>
      </c>
      <c r="C268" s="10" t="s">
        <v>1073</v>
      </c>
      <c r="D268" s="10" t="s">
        <v>1074</v>
      </c>
      <c r="E268" s="10" t="s">
        <v>1075</v>
      </c>
      <c r="F268" s="10" t="s">
        <v>1076</v>
      </c>
      <c r="G268" s="10" t="s">
        <v>1077</v>
      </c>
      <c r="H268" s="10" t="s">
        <v>119</v>
      </c>
      <c r="I268" s="10" t="s">
        <v>58</v>
      </c>
      <c r="J268" s="12" t="n">
        <v>1</v>
      </c>
      <c r="K268" s="13" t="s">
        <v>58</v>
      </c>
      <c r="L268" s="13" t="s">
        <v>31</v>
      </c>
      <c r="M268" s="13"/>
      <c r="N268" s="13"/>
      <c r="O268" s="13"/>
      <c r="P268" s="14" t="s">
        <v>1078</v>
      </c>
      <c r="Q268" s="10" t="s">
        <v>76</v>
      </c>
      <c r="R268" s="14" t="s">
        <v>61</v>
      </c>
    </row>
    <row r="269" customFormat="false" ht="42" hidden="false" customHeight="true" outlineLevel="0" collapsed="false">
      <c r="A269" s="16" t="n">
        <v>268</v>
      </c>
      <c r="B269" s="19" t="s">
        <v>1079</v>
      </c>
      <c r="C269" s="16" t="s">
        <v>1073</v>
      </c>
      <c r="D269" s="16" t="s">
        <v>1074</v>
      </c>
      <c r="E269" s="16" t="s">
        <v>1075</v>
      </c>
      <c r="F269" s="16" t="s">
        <v>1076</v>
      </c>
      <c r="G269" s="16" t="s">
        <v>1080</v>
      </c>
      <c r="H269" s="16" t="s">
        <v>119</v>
      </c>
      <c r="I269" s="16" t="s">
        <v>58</v>
      </c>
      <c r="J269" s="12" t="n">
        <v>1</v>
      </c>
      <c r="K269" s="17" t="s">
        <v>58</v>
      </c>
      <c r="L269" s="17" t="s">
        <v>31</v>
      </c>
      <c r="M269" s="17"/>
      <c r="N269" s="17"/>
      <c r="O269" s="17"/>
      <c r="P269" s="18" t="s">
        <v>1081</v>
      </c>
      <c r="Q269" s="16" t="s">
        <v>76</v>
      </c>
      <c r="R269" s="18" t="s">
        <v>61</v>
      </c>
    </row>
    <row r="270" customFormat="false" ht="42" hidden="false" customHeight="true" outlineLevel="0" collapsed="false">
      <c r="A270" s="10" t="n">
        <v>269</v>
      </c>
      <c r="B270" s="11" t="s">
        <v>1082</v>
      </c>
      <c r="C270" s="10" t="s">
        <v>1073</v>
      </c>
      <c r="D270" s="10" t="s">
        <v>1083</v>
      </c>
      <c r="E270" s="10" t="s">
        <v>688</v>
      </c>
      <c r="F270" s="10" t="s">
        <v>1084</v>
      </c>
      <c r="G270" s="10" t="s">
        <v>1085</v>
      </c>
      <c r="H270" s="10" t="s">
        <v>1086</v>
      </c>
      <c r="I270" s="10" t="s">
        <v>58</v>
      </c>
      <c r="J270" s="12" t="n">
        <v>1</v>
      </c>
      <c r="K270" s="13" t="s">
        <v>68</v>
      </c>
      <c r="L270" s="13" t="s">
        <v>31</v>
      </c>
      <c r="M270" s="13"/>
      <c r="N270" s="13"/>
      <c r="O270" s="13"/>
      <c r="P270" s="14" t="s">
        <v>1087</v>
      </c>
      <c r="Q270" s="10" t="s">
        <v>76</v>
      </c>
      <c r="R270" s="14" t="s">
        <v>61</v>
      </c>
    </row>
    <row r="271" customFormat="false" ht="42" hidden="false" customHeight="true" outlineLevel="0" collapsed="false">
      <c r="A271" s="16" t="n">
        <v>270</v>
      </c>
      <c r="B271" s="19" t="s">
        <v>1088</v>
      </c>
      <c r="C271" s="16" t="s">
        <v>1073</v>
      </c>
      <c r="D271" s="16" t="s">
        <v>1089</v>
      </c>
      <c r="E271" s="16" t="s">
        <v>1090</v>
      </c>
      <c r="F271" s="16" t="s">
        <v>1091</v>
      </c>
      <c r="G271" s="16" t="s">
        <v>1092</v>
      </c>
      <c r="H271" s="16" t="s">
        <v>66</v>
      </c>
      <c r="I271" s="16" t="s">
        <v>58</v>
      </c>
      <c r="J271" s="12" t="n">
        <v>1</v>
      </c>
      <c r="K271" s="17" t="s">
        <v>58</v>
      </c>
      <c r="L271" s="17" t="s">
        <v>31</v>
      </c>
      <c r="M271" s="17"/>
      <c r="N271" s="17"/>
      <c r="O271" s="17"/>
      <c r="P271" s="18" t="s">
        <v>1093</v>
      </c>
      <c r="Q271" s="15" t="s">
        <v>60</v>
      </c>
      <c r="R271" s="18" t="s">
        <v>61</v>
      </c>
    </row>
    <row r="272" customFormat="false" ht="42" hidden="false" customHeight="true" outlineLevel="0" collapsed="false">
      <c r="A272" s="10" t="n">
        <v>271</v>
      </c>
      <c r="B272" s="11" t="s">
        <v>1094</v>
      </c>
      <c r="C272" s="10" t="s">
        <v>1073</v>
      </c>
      <c r="D272" s="10" t="s">
        <v>1083</v>
      </c>
      <c r="E272" s="10" t="s">
        <v>53</v>
      </c>
      <c r="F272" s="10" t="s">
        <v>1095</v>
      </c>
      <c r="G272" s="10" t="s">
        <v>1096</v>
      </c>
      <c r="H272" s="10" t="s">
        <v>87</v>
      </c>
      <c r="I272" s="10" t="s">
        <v>58</v>
      </c>
      <c r="J272" s="12" t="n">
        <v>1</v>
      </c>
      <c r="K272" s="13" t="s">
        <v>68</v>
      </c>
      <c r="L272" s="13" t="s">
        <v>31</v>
      </c>
      <c r="M272" s="13"/>
      <c r="N272" s="13"/>
      <c r="O272" s="13"/>
      <c r="P272" s="14" t="s">
        <v>1097</v>
      </c>
      <c r="Q272" s="15" t="s">
        <v>60</v>
      </c>
      <c r="R272" s="14" t="s">
        <v>61</v>
      </c>
    </row>
    <row r="273" customFormat="false" ht="42" hidden="false" customHeight="true" outlineLevel="0" collapsed="false">
      <c r="A273" s="16" t="n">
        <v>272</v>
      </c>
      <c r="B273" s="19" t="s">
        <v>1098</v>
      </c>
      <c r="C273" s="16" t="s">
        <v>1073</v>
      </c>
      <c r="D273" s="16" t="s">
        <v>1083</v>
      </c>
      <c r="E273" s="16" t="s">
        <v>475</v>
      </c>
      <c r="F273" s="16" t="s">
        <v>1099</v>
      </c>
      <c r="G273" s="16" t="s">
        <v>1100</v>
      </c>
      <c r="H273" s="16" t="s">
        <v>1101</v>
      </c>
      <c r="I273" s="16" t="s">
        <v>58</v>
      </c>
      <c r="J273" s="12" t="n">
        <v>1</v>
      </c>
      <c r="K273" s="17" t="s">
        <v>58</v>
      </c>
      <c r="L273" s="17" t="s">
        <v>31</v>
      </c>
      <c r="M273" s="17"/>
      <c r="N273" s="17"/>
      <c r="O273" s="17"/>
      <c r="P273" s="18" t="s">
        <v>1102</v>
      </c>
      <c r="Q273" s="16" t="s">
        <v>76</v>
      </c>
      <c r="R273" s="18" t="s">
        <v>61</v>
      </c>
    </row>
    <row r="274" customFormat="false" ht="42" hidden="false" customHeight="true" outlineLevel="0" collapsed="false">
      <c r="A274" s="10" t="n">
        <v>273</v>
      </c>
      <c r="B274" s="11" t="s">
        <v>1103</v>
      </c>
      <c r="C274" s="10" t="s">
        <v>1073</v>
      </c>
      <c r="D274" s="10" t="s">
        <v>1083</v>
      </c>
      <c r="E274" s="10" t="s">
        <v>53</v>
      </c>
      <c r="F274" s="10" t="s">
        <v>1104</v>
      </c>
      <c r="G274" s="10"/>
      <c r="H274" s="10" t="s">
        <v>1086</v>
      </c>
      <c r="I274" s="10" t="s">
        <v>58</v>
      </c>
      <c r="J274" s="12" t="n">
        <v>1</v>
      </c>
      <c r="K274" s="13" t="s">
        <v>68</v>
      </c>
      <c r="L274" s="13" t="s">
        <v>31</v>
      </c>
      <c r="M274" s="13"/>
      <c r="N274" s="13"/>
      <c r="O274" s="13"/>
      <c r="P274" s="14" t="s">
        <v>1105</v>
      </c>
      <c r="Q274" s="10" t="s">
        <v>76</v>
      </c>
      <c r="R274" s="14" t="s">
        <v>61</v>
      </c>
    </row>
    <row r="275" customFormat="false" ht="42" hidden="false" customHeight="true" outlineLevel="0" collapsed="false">
      <c r="A275" s="16" t="n">
        <v>274</v>
      </c>
      <c r="B275" s="16" t="s">
        <v>1106</v>
      </c>
      <c r="C275" s="16" t="s">
        <v>1073</v>
      </c>
      <c r="D275" s="16" t="s">
        <v>1107</v>
      </c>
      <c r="E275" s="16" t="s">
        <v>199</v>
      </c>
      <c r="F275" s="16" t="s">
        <v>1108</v>
      </c>
      <c r="G275" s="16" t="s">
        <v>1109</v>
      </c>
      <c r="H275" s="16" t="s">
        <v>66</v>
      </c>
      <c r="I275" s="16" t="s">
        <v>58</v>
      </c>
      <c r="J275" s="16" t="n">
        <v>2</v>
      </c>
      <c r="K275" s="17" t="s">
        <v>58</v>
      </c>
      <c r="L275" s="17" t="s">
        <v>31</v>
      </c>
      <c r="M275" s="17"/>
      <c r="N275" s="17"/>
      <c r="O275" s="17"/>
      <c r="P275" s="18" t="s">
        <v>1110</v>
      </c>
      <c r="Q275" s="15" t="s">
        <v>60</v>
      </c>
      <c r="R275" s="18" t="s">
        <v>61</v>
      </c>
    </row>
    <row r="276" customFormat="false" ht="42" hidden="false" customHeight="true" outlineLevel="0" collapsed="false">
      <c r="A276" s="10" t="n">
        <v>275</v>
      </c>
      <c r="B276" s="10" t="s">
        <v>1111</v>
      </c>
      <c r="C276" s="10" t="s">
        <v>1073</v>
      </c>
      <c r="D276" s="10" t="s">
        <v>1112</v>
      </c>
      <c r="E276" s="10" t="s">
        <v>1113</v>
      </c>
      <c r="F276" s="10" t="s">
        <v>1114</v>
      </c>
      <c r="G276" s="10" t="s">
        <v>1115</v>
      </c>
      <c r="H276" s="10" t="s">
        <v>243</v>
      </c>
      <c r="I276" s="10" t="s">
        <v>58</v>
      </c>
      <c r="J276" s="10" t="n">
        <v>2</v>
      </c>
      <c r="K276" s="13" t="s">
        <v>58</v>
      </c>
      <c r="L276" s="13" t="s">
        <v>31</v>
      </c>
      <c r="M276" s="13"/>
      <c r="N276" s="13"/>
      <c r="O276" s="13"/>
      <c r="P276" s="14" t="s">
        <v>1116</v>
      </c>
      <c r="Q276" s="15" t="s">
        <v>60</v>
      </c>
      <c r="R276" s="14" t="s">
        <v>61</v>
      </c>
    </row>
    <row r="277" customFormat="false" ht="42" hidden="false" customHeight="true" outlineLevel="0" collapsed="false">
      <c r="A277" s="16" t="n">
        <v>276</v>
      </c>
      <c r="B277" s="16" t="s">
        <v>1117</v>
      </c>
      <c r="C277" s="16" t="s">
        <v>1073</v>
      </c>
      <c r="D277" s="16" t="s">
        <v>1083</v>
      </c>
      <c r="E277" s="16" t="s">
        <v>1118</v>
      </c>
      <c r="F277" s="16" t="s">
        <v>1119</v>
      </c>
      <c r="G277" s="16" t="s">
        <v>1120</v>
      </c>
      <c r="H277" s="16" t="s">
        <v>1101</v>
      </c>
      <c r="I277" s="16" t="s">
        <v>58</v>
      </c>
      <c r="J277" s="16" t="n">
        <v>2</v>
      </c>
      <c r="K277" s="17" t="s">
        <v>58</v>
      </c>
      <c r="L277" s="17" t="s">
        <v>31</v>
      </c>
      <c r="M277" s="17"/>
      <c r="N277" s="17"/>
      <c r="O277" s="17"/>
      <c r="P277" s="18" t="s">
        <v>1121</v>
      </c>
      <c r="Q277" s="16" t="s">
        <v>76</v>
      </c>
      <c r="R277" s="18" t="s">
        <v>61</v>
      </c>
    </row>
    <row r="278" customFormat="false" ht="42" hidden="false" customHeight="true" outlineLevel="0" collapsed="false">
      <c r="A278" s="10" t="n">
        <v>277</v>
      </c>
      <c r="B278" s="10" t="s">
        <v>1122</v>
      </c>
      <c r="C278" s="10" t="s">
        <v>1073</v>
      </c>
      <c r="D278" s="10" t="s">
        <v>1083</v>
      </c>
      <c r="E278" s="10" t="s">
        <v>726</v>
      </c>
      <c r="F278" s="10" t="s">
        <v>1095</v>
      </c>
      <c r="G278" s="10" t="s">
        <v>1123</v>
      </c>
      <c r="H278" s="10" t="s">
        <v>87</v>
      </c>
      <c r="I278" s="10" t="s">
        <v>58</v>
      </c>
      <c r="J278" s="10" t="n">
        <v>2</v>
      </c>
      <c r="K278" s="13" t="s">
        <v>68</v>
      </c>
      <c r="L278" s="13" t="s">
        <v>31</v>
      </c>
      <c r="M278" s="13"/>
      <c r="N278" s="13"/>
      <c r="O278" s="13"/>
      <c r="P278" s="14" t="s">
        <v>1124</v>
      </c>
      <c r="Q278" s="15" t="s">
        <v>60</v>
      </c>
      <c r="R278" s="14" t="s">
        <v>61</v>
      </c>
    </row>
    <row r="279" customFormat="false" ht="42" hidden="false" customHeight="true" outlineLevel="0" collapsed="false">
      <c r="A279" s="16" t="n">
        <v>278</v>
      </c>
      <c r="B279" s="16" t="s">
        <v>1125</v>
      </c>
      <c r="C279" s="16" t="s">
        <v>1073</v>
      </c>
      <c r="D279" s="16" t="s">
        <v>1126</v>
      </c>
      <c r="E279" s="16" t="s">
        <v>53</v>
      </c>
      <c r="F279" s="16" t="s">
        <v>1127</v>
      </c>
      <c r="G279" s="16" t="s">
        <v>1128</v>
      </c>
      <c r="H279" s="16" t="s">
        <v>269</v>
      </c>
      <c r="I279" s="16" t="s">
        <v>58</v>
      </c>
      <c r="J279" s="16" t="n">
        <v>3</v>
      </c>
      <c r="K279" s="17" t="s">
        <v>58</v>
      </c>
      <c r="L279" s="17" t="s">
        <v>31</v>
      </c>
      <c r="M279" s="17"/>
      <c r="N279" s="17"/>
      <c r="O279" s="17"/>
      <c r="P279" s="18" t="s">
        <v>1129</v>
      </c>
      <c r="Q279" s="15" t="s">
        <v>60</v>
      </c>
      <c r="R279" s="18" t="s">
        <v>61</v>
      </c>
    </row>
    <row r="280" customFormat="false" ht="42" hidden="false" customHeight="true" outlineLevel="0" collapsed="false">
      <c r="A280" s="10" t="n">
        <v>279</v>
      </c>
      <c r="B280" s="10" t="s">
        <v>1130</v>
      </c>
      <c r="C280" s="10" t="s">
        <v>1073</v>
      </c>
      <c r="D280" s="10" t="s">
        <v>1131</v>
      </c>
      <c r="E280" s="10" t="s">
        <v>53</v>
      </c>
      <c r="F280" s="10" t="s">
        <v>1132</v>
      </c>
      <c r="G280" s="10" t="s">
        <v>1133</v>
      </c>
      <c r="H280" s="10" t="s">
        <v>87</v>
      </c>
      <c r="I280" s="10" t="s">
        <v>58</v>
      </c>
      <c r="J280" s="10" t="n">
        <v>3</v>
      </c>
      <c r="K280" s="13" t="s">
        <v>58</v>
      </c>
      <c r="L280" s="13" t="s">
        <v>31</v>
      </c>
      <c r="M280" s="13"/>
      <c r="N280" s="13"/>
      <c r="O280" s="13"/>
      <c r="P280" s="14" t="s">
        <v>1134</v>
      </c>
      <c r="Q280" s="10" t="s">
        <v>76</v>
      </c>
      <c r="R280" s="14" t="s">
        <v>61</v>
      </c>
    </row>
    <row r="281" customFormat="false" ht="42" hidden="false" customHeight="true" outlineLevel="0" collapsed="false">
      <c r="A281" s="16" t="n">
        <v>280</v>
      </c>
      <c r="B281" s="16" t="s">
        <v>1135</v>
      </c>
      <c r="C281" s="16" t="s">
        <v>1073</v>
      </c>
      <c r="D281" s="16" t="s">
        <v>1126</v>
      </c>
      <c r="E281" s="16" t="s">
        <v>1090</v>
      </c>
      <c r="F281" s="16" t="s">
        <v>1127</v>
      </c>
      <c r="G281" s="16" t="s">
        <v>1136</v>
      </c>
      <c r="H281" s="16" t="s">
        <v>66</v>
      </c>
      <c r="I281" s="16" t="s">
        <v>58</v>
      </c>
      <c r="J281" s="16" t="n">
        <v>3</v>
      </c>
      <c r="K281" s="17" t="s">
        <v>58</v>
      </c>
      <c r="L281" s="17" t="s">
        <v>31</v>
      </c>
      <c r="M281" s="17"/>
      <c r="N281" s="17"/>
      <c r="O281" s="17"/>
      <c r="P281" s="18" t="s">
        <v>1137</v>
      </c>
      <c r="Q281" s="16" t="s">
        <v>76</v>
      </c>
      <c r="R281" s="18" t="s">
        <v>61</v>
      </c>
    </row>
    <row r="282" customFormat="false" ht="42" hidden="false" customHeight="true" outlineLevel="0" collapsed="false">
      <c r="A282" s="10" t="n">
        <v>281</v>
      </c>
      <c r="B282" s="10" t="s">
        <v>1138</v>
      </c>
      <c r="C282" s="10" t="s">
        <v>1073</v>
      </c>
      <c r="D282" s="10" t="s">
        <v>1089</v>
      </c>
      <c r="E282" s="10" t="s">
        <v>475</v>
      </c>
      <c r="F282" s="10" t="s">
        <v>1139</v>
      </c>
      <c r="G282" s="10" t="s">
        <v>1140</v>
      </c>
      <c r="H282" s="10" t="s">
        <v>1101</v>
      </c>
      <c r="I282" s="10" t="s">
        <v>58</v>
      </c>
      <c r="J282" s="10" t="n">
        <v>3</v>
      </c>
      <c r="K282" s="13" t="s">
        <v>58</v>
      </c>
      <c r="L282" s="13" t="s">
        <v>31</v>
      </c>
      <c r="M282" s="13"/>
      <c r="N282" s="13"/>
      <c r="O282" s="13"/>
      <c r="P282" s="14" t="s">
        <v>1141</v>
      </c>
      <c r="Q282" s="10" t="s">
        <v>76</v>
      </c>
      <c r="R282" s="14" t="s">
        <v>61</v>
      </c>
    </row>
    <row r="283" customFormat="false" ht="42" hidden="false" customHeight="true" outlineLevel="0" collapsed="false">
      <c r="A283" s="16" t="n">
        <v>282</v>
      </c>
      <c r="B283" s="16" t="s">
        <v>1142</v>
      </c>
      <c r="C283" s="16" t="s">
        <v>1073</v>
      </c>
      <c r="D283" s="16" t="s">
        <v>1083</v>
      </c>
      <c r="E283" s="16" t="s">
        <v>53</v>
      </c>
      <c r="F283" s="16" t="s">
        <v>1143</v>
      </c>
      <c r="G283" s="16" t="s">
        <v>1144</v>
      </c>
      <c r="H283" s="16" t="s">
        <v>87</v>
      </c>
      <c r="I283" s="16" t="s">
        <v>58</v>
      </c>
      <c r="J283" s="16" t="n">
        <v>3</v>
      </c>
      <c r="K283" s="17" t="s">
        <v>58</v>
      </c>
      <c r="L283" s="17" t="s">
        <v>31</v>
      </c>
      <c r="M283" s="17"/>
      <c r="N283" s="17"/>
      <c r="O283" s="17"/>
      <c r="P283" s="18" t="s">
        <v>1124</v>
      </c>
      <c r="Q283" s="15" t="s">
        <v>60</v>
      </c>
      <c r="R283" s="18" t="s">
        <v>61</v>
      </c>
    </row>
  </sheetData>
  <autoFilter ref="A1:R283"/>
  <dataValidations count="2">
    <dataValidation allowBlank="true" errorStyle="stop" operator="between" showDropDown="false" showErrorMessage="false" showInputMessage="false" sqref="L2:L283" type="list">
      <formula1>"Not started,Researching,Applied,Interviewing,Rejected,Offer,Parked"</formula1>
      <formula2>0</formula2>
    </dataValidation>
    <dataValidation allowBlank="true" errorStyle="stop" operator="between" showDropDown="false" showErrorMessage="false" showInputMessage="false" sqref="K2:K283" type="list">
      <formula1>"Yes,No"</formula1>
      <formula2>0</formula2>
    </dataValidation>
  </dataValidations>
  <hyperlinks>
    <hyperlink ref="P2" r:id="rId1" display="https://www.werkenvoor.be/en/language-certificates"/>
    <hyperlink ref="R2" r:id="rId2" display="Search"/>
    <hyperlink ref="P3" r:id="rId3" display="https://diplomatie.belgium.be/en/jobs"/>
    <hyperlink ref="R3" r:id="rId4" display="Search"/>
    <hyperlink ref="P4" r:id="rId5" display="https://www.werkenvoor.be"/>
    <hyperlink ref="R4" r:id="rId6" display="Search"/>
    <hyperlink ref="P5" r:id="rId7" display="https://www.actiris.brussels"/>
    <hyperlink ref="R5" r:id="rId8" display="Search"/>
    <hyperlink ref="P6" r:id="rId9" display="https://ccf.brussels"/>
    <hyperlink ref="R6" r:id="rId10" display="Search"/>
    <hyperlink ref="P7" r:id="rId11" display="https://www.evere.brussels"/>
    <hyperlink ref="R7" r:id="rId12" display="Search"/>
    <hyperlink ref="P8" r:id="rId13" display="https://www.molenbeek.irisnet.be"/>
    <hyperlink ref="R8" r:id="rId14" display="Search"/>
    <hyperlink ref="P9" r:id="rId15" display="https://www.stjosse.irisnet.be"/>
    <hyperlink ref="R9" r:id="rId16" display="Search"/>
    <hyperlink ref="P10" r:id="rId17" display="https://www.1030.be"/>
    <hyperlink ref="R10" r:id="rId18" display="Search"/>
    <hyperlink ref="P11" r:id="rId19" display="https://www.vgc.be"/>
    <hyperlink ref="R11" r:id="rId20" display="Search"/>
    <hyperlink ref="P12" r:id="rId21" display="https://talent.brussels"/>
    <hyperlink ref="R12" r:id="rId22" display="Search"/>
    <hyperlink ref="P13" r:id="rId23" display="https://www.icf.com/careers"/>
    <hyperlink ref="R13" r:id="rId24" display="Search"/>
    <hyperlink ref="P14" r:id="rId25" display="https://www.mostra.com"/>
    <hyperlink ref="R14" r:id="rId26" display="Search"/>
    <hyperlink ref="P15" r:id="rId27" display="https://www.ogilvy.com/be"/>
    <hyperlink ref="R15" r:id="rId28" display="Search"/>
    <hyperlink ref="P16" r:id="rId29" display="https://www.tipik.eu"/>
    <hyperlink ref="R16" r:id="rId30" display="Search"/>
    <hyperlink ref="P17" r:id="rId31" display="https://www.bursonglobal.com/careers/"/>
    <hyperlink ref="R17" r:id="rId32" display="Search"/>
    <hyperlink ref="P18" r:id="rId33" display="https://www.cecoforma.com"/>
    <hyperlink ref="R18" r:id="rId34" display="Search"/>
    <hyperlink ref="P19" r:id="rId35" display="https://grayling.com/careers/"/>
    <hyperlink ref="R19" r:id="rId36" display="Search"/>
    <hyperlink ref="P20" r:id="rId37" display="https://www.acumenpa.com"/>
    <hyperlink ref="R20" r:id="rId38" display="Search"/>
    <hyperlink ref="P21" r:id="rId39" display="https://www.aula-europe.eu"/>
    <hyperlink ref="R21" r:id="rId40" display="Search"/>
    <hyperlink ref="P22" r:id="rId41" display="https://www.deloittedigital.com"/>
    <hyperlink ref="R22" r:id="rId42" display="Search"/>
    <hyperlink ref="P23" r:id="rId43" display="https://www.edelman.com/careers"/>
    <hyperlink ref="R23" r:id="rId44" display="Search"/>
    <hyperlink ref="P24" r:id="rId45" display="https://fticonsulting.com/careers"/>
    <hyperlink ref="R24" r:id="rId46" display="Search"/>
    <hyperlink ref="P25" r:id="rId47" display="https://fleishmanhillard.be"/>
    <hyperlink ref="R25" r:id="rId48" display="Search"/>
    <hyperlink ref="P26" r:id="rId49" display="https://instinctif.com/careers/"/>
    <hyperlink ref="R26" r:id="rId50" display="Search"/>
    <hyperlink ref="P27" r:id="rId51" display="https://www.interelgroup.com"/>
    <hyperlink ref="R27" r:id="rId52" display="Search"/>
    <hyperlink ref="P28" r:id="rId53" display="https://kreab.com/brussels/"/>
    <hyperlink ref="R28" r:id="rId54" display="Search"/>
    <hyperlink ref="P29" r:id="rId55" display="https://www.rudpedersen.com/careers"/>
    <hyperlink ref="R29" r:id="rId56" display="Search"/>
    <hyperlink ref="P30" r:id="rId57" display="https://www.teneo.com/careers/"/>
    <hyperlink ref="R30" r:id="rId58" display="Search"/>
    <hyperlink ref="P31" r:id="rId59" display="https://www.wavestone.com/en/careers/"/>
    <hyperlink ref="R31" r:id="rId60" display="Search"/>
    <hyperlink ref="P32" r:id="rId61" display="https://webershandwick.com/careers/"/>
    <hyperlink ref="R32" r:id="rId62" display="Search"/>
    <hyperlink ref="P33" r:id="rId63" display="https://coachingfederation.org"/>
    <hyperlink ref="R33" r:id="rId64" display="Search"/>
    <hyperlink ref="P34" r:id="rId65" display="https://www.schaeffler.com/en/careers/"/>
    <hyperlink ref="R34" r:id="rId66" display="Search"/>
    <hyperlink ref="P35" r:id="rId67" display="https://www.britishschool.be"/>
    <hyperlink ref="R35" r:id="rId68" display="Search"/>
    <hyperlink ref="P36" r:id="rId69" display="https://www.eursc.eu/en/European-Schools/recruitment"/>
    <hyperlink ref="R36" r:id="rId70" display="Search"/>
    <hyperlink ref="P37" r:id="rId71" display="https://www.isb.be"/>
    <hyperlink ref="R37" r:id="rId72" display="Search"/>
    <hyperlink ref="P38" r:id="rId73" display="https://www.linkedin.com/jobs"/>
    <hyperlink ref="R38" r:id="rId74" display="Search"/>
    <hyperlink ref="P39" r:id="rId75" display="https://www.cncd.be"/>
    <hyperlink ref="R39" r:id="rId76" display="Search"/>
    <hyperlink ref="P40" r:id="rId77" display="https://www.msf-azg.be/en/jobs"/>
    <hyperlink ref="R40" r:id="rId78" display="Search"/>
    <hyperlink ref="P41" r:id="rId79" display="https://www.oxfam.org/en/work-us"/>
    <hyperlink ref="R41" r:id="rId80" display="Search"/>
    <hyperlink ref="P42" r:id="rId81" display="https://www.wsm.be"/>
    <hyperlink ref="R42" r:id="rId82" display="Search"/>
    <hyperlink ref="P43" r:id="rId83" display="https://concordeurope.org/vacancies/"/>
    <hyperlink ref="R43" r:id="rId84" display="Search"/>
    <hyperlink ref="P44" r:id="rId85" display="https://www.enabel.be/jobs/"/>
    <hyperlink ref="R44" r:id="rId86" display="Search"/>
    <hyperlink ref="P45" r:id="rId87" display="https://www.handicapinternational.be"/>
    <hyperlink ref="R45" r:id="rId88" display="Search"/>
    <hyperlink ref="P46" r:id="rId89" display="https://kbs-frb.be/en/jobs"/>
    <hyperlink ref="R46" r:id="rId90" display="Search"/>
    <hyperlink ref="P47" r:id="rId91" display="https://medecinsdumonde.be"/>
    <hyperlink ref="R47" r:id="rId92" display="Search"/>
    <hyperlink ref="P48" r:id="rId93" display="https://www.one.org/international/careers/"/>
    <hyperlink ref="R48" r:id="rId94" display="Search"/>
    <hyperlink ref="P49" r:id="rId95" display="https://www.oxfam.be/jobs"/>
    <hyperlink ref="R49" r:id="rId96" display="Search"/>
    <hyperlink ref="P50" r:id="rId97" display="https://plan-international.org/eu/"/>
    <hyperlink ref="R50" r:id="rId98" display="Search"/>
    <hyperlink ref="P51" r:id="rId99" display="https://www.savethechildren.net/careers"/>
    <hyperlink ref="R51" r:id="rId100" display="Search"/>
    <hyperlink ref="P52" r:id="rId101" display="https://www.sci.ngo"/>
    <hyperlink ref="R52" r:id="rId102" display="Search"/>
    <hyperlink ref="P53" r:id="rId103" display="https://www.terredeshommes.org"/>
    <hyperlink ref="R53" r:id="rId104" display="Search"/>
    <hyperlink ref="P54" r:id="rId105" display="https://www.11.be"/>
    <hyperlink ref="R54" r:id="rId106" display="Search"/>
    <hyperlink ref="P55" r:id="rId107" display="https://www.actiondamien.be"/>
    <hyperlink ref="R55" r:id="rId108" display="Search"/>
    <hyperlink ref="P56" r:id="rId109" display="https://actionaid.eu"/>
    <hyperlink ref="R56" r:id="rId110" display="Search"/>
    <hyperlink ref="P57" r:id="rId111" display="https://diplomatie.belgium.be/en/jobs"/>
    <hyperlink ref="R57" r:id="rId112" display="Search"/>
    <hyperlink ref="P58" r:id="rId113" display="https://echoscommunication.org"/>
    <hyperlink ref="R58" r:id="rId114" display="Search"/>
    <hyperlink ref="P59" r:id="rId115" display="https://www.fairtradebelgium.be"/>
    <hyperlink ref="R59" r:id="rId116" display="Search"/>
    <hyperlink ref="P60" r:id="rId117" display="https://www.fairtrade.net/about/careers"/>
    <hyperlink ref="R60" r:id="rId118" display="Search"/>
    <hyperlink ref="P61" r:id="rId119" display="https://www.light-for-the-world.org/jobs/"/>
    <hyperlink ref="R61" r:id="rId120" display="Search"/>
    <hyperlink ref="P62" r:id="rId121" display="https://msfaccess.org"/>
    <hyperlink ref="R62" r:id="rId122" display="Search"/>
    <hyperlink ref="P63" r:id="rId123" display="https://www.memisa.be"/>
    <hyperlink ref="R63" r:id="rId124" display="Search"/>
    <hyperlink ref="P64" r:id="rId125" display="https://www.trocaire.org/jobs/"/>
    <hyperlink ref="R64" r:id="rId126" display="Search"/>
    <hyperlink ref="P65" r:id="rId127" display="https://voiceeu.org"/>
    <hyperlink ref="R65" r:id="rId128" display="Search"/>
    <hyperlink ref="P66" r:id="rId129" display="https://www.wveurope.org"/>
    <hyperlink ref="R66" r:id="rId130" display="Search"/>
    <hyperlink ref="P67" r:id="rId131" display="https://traineeships.ec.europa.eu"/>
    <hyperlink ref="R67" r:id="rId132" display="Search"/>
    <hyperlink ref="P68" r:id="rId133" display="https://eu-careers.europa.eu/en/job-opportunities/open-for-application"/>
    <hyperlink ref="R68" r:id="rId134" display="Search"/>
    <hyperlink ref="P69" r:id="rId135" display="https://commission.europa.eu/about/departments-and-executive-agencies/communication_en"/>
    <hyperlink ref="R69" r:id="rId136" display="Search"/>
    <hyperlink ref="P70" r:id="rId137" display="https://international-partnerships.ec.europa.eu"/>
    <hyperlink ref="R70" r:id="rId138" display="Search"/>
    <hyperlink ref="P71" r:id="rId139" display="https://www.eeas.europa.eu/eeas/vacancies_en"/>
    <hyperlink ref="R71" r:id="rId140" display="Search"/>
    <hyperlink ref="P72" r:id="rId141" display="https://www.eeas.europa.eu/mexico_en"/>
    <hyperlink ref="R72" r:id="rId142" display="Search"/>
    <hyperlink ref="P73" r:id="rId143" display="https://www.eeas.europa.eu/eeas/call-expression-interest-junior-professionals-delegation-jpd-programme-2026-2028_en"/>
    <hyperlink ref="R73" r:id="rId144" display="Search"/>
    <hyperlink ref="P74" r:id="rId145" display="https://www.europarl.europa.eu/committees/en/afet/home"/>
    <hyperlink ref="R74" r:id="rId146" display="Search"/>
    <hyperlink ref="P75" r:id="rId147" display="https://www.europarl.europa.eu/committees/en/deve/home"/>
    <hyperlink ref="R75" r:id="rId148" display="Search"/>
    <hyperlink ref="P76" r:id="rId149" display="https://www.europarl.europa.eu/committees/en/droi/home"/>
    <hyperlink ref="R76" r:id="rId150" display="Search"/>
    <hyperlink ref="P77" r:id="rId151" display="https://www.europarl.europa.eu/committees/en/libe/home"/>
    <hyperlink ref="R77" r:id="rId152" display="Search"/>
    <hyperlink ref="P78" r:id="rId153" display="https://civil-protection-humanitarian-aid.ec.europa.eu"/>
    <hyperlink ref="R78" r:id="rId154" display="Search"/>
    <hyperlink ref="P79" r:id="rId155" display="https://home-affairs.ec.europa.eu"/>
    <hyperlink ref="R79" r:id="rId156" display="Search"/>
    <hyperlink ref="P80" r:id="rId157" display="https://www.greens-efa.eu/en/jobs"/>
    <hyperlink ref="R80" r:id="rId158" display="Search"/>
    <hyperlink ref="P81" r:id="rId159" display="https://www.socialistsanddemocrats.eu/vacancies"/>
    <hyperlink ref="R81" r:id="rId160" display="Search"/>
    <hyperlink ref="P82" r:id="rId161" display="https://www.europarl.europa.eu/traineeships/en/"/>
    <hyperlink ref="R82" r:id="rId162" display="Search"/>
    <hyperlink ref="P83" r:id="rId163" display="https://left.eu/vacancies/"/>
    <hyperlink ref="R83" r:id="rId164" display="Search"/>
    <hyperlink ref="P84" r:id="rId165" display="https://health.ec.europa.eu"/>
    <hyperlink ref="R84" r:id="rId166" display="Search"/>
    <hyperlink ref="P85" r:id="rId167" display="https://eige.europa.eu/about/recruitment"/>
    <hyperlink ref="R85" r:id="rId168" display="Search"/>
    <hyperlink ref="P86" r:id="rId169" display="https://eu-careers.europa.eu/en/job-opportunities/upcoming-opportunities"/>
    <hyperlink ref="R86" r:id="rId170" display="Search"/>
    <hyperlink ref="P87" r:id="rId171" display="https://eu-careers.europa.eu"/>
    <hyperlink ref="R87" r:id="rId172" display="Search"/>
    <hyperlink ref="P88" r:id="rId173" display="https://fra.europa.eu/en/about-fra/recruitment"/>
    <hyperlink ref="R88" r:id="rId174" display="Search"/>
    <hyperlink ref="P89" r:id="rId175" display="https://www.eeas.europa.eu/colombia_en"/>
    <hyperlink ref="R89" r:id="rId176" display="Search"/>
    <hyperlink ref="P90" r:id="rId177" display="https://euaa.europa.eu/careers"/>
    <hyperlink ref="R90" r:id="rId178" display="Search"/>
    <hyperlink ref="P91" r:id="rId179" display="https://www.eppgroup.eu"/>
    <hyperlink ref="R91" r:id="rId180" display="Search"/>
    <hyperlink ref="P92" r:id="rId181" display="https://www.europarl.europa.eu/thinktank/en/home"/>
    <hyperlink ref="R92" r:id="rId182" display="Search"/>
    <hyperlink ref="P93" r:id="rId183" display="https://www.reneweuropegroup.eu"/>
    <hyperlink ref="R93" r:id="rId184" display="Search"/>
    <hyperlink ref="P94" r:id="rId185" display="https://frontex.europa.eu/careers/"/>
    <hyperlink ref="R94" r:id="rId186" display="Search"/>
    <hyperlink ref="P95" r:id="rId187" display="https://op.europa.eu"/>
    <hyperlink ref="R95" r:id="rId188" display="Search"/>
    <hyperlink ref="P96" r:id="rId189" display="https://epha.org/vacancies/"/>
    <hyperlink ref="R96" r:id="rId190" display="Search"/>
    <hyperlink ref="P97" r:id="rId191" display="https://www.ghadvocates.eu"/>
    <hyperlink ref="R97" r:id="rId192" display="Search"/>
    <hyperlink ref="P98" r:id="rId193" display="https://www.itg.be/E/vacancies"/>
    <hyperlink ref="R98" r:id="rId194" display="Search"/>
    <hyperlink ref="P99" r:id="rId195" display="https://www.eu-patient.eu"/>
    <hyperlink ref="R99" r:id="rId196" display="Search"/>
    <hyperlink ref="P100" r:id="rId197" display="https://www.mhe-sme.org"/>
    <hyperlink ref="R100" r:id="rId198" display="Search"/>
    <hyperlink ref="P101" r:id="rId199" display="https://www.sciensano.be/en/jobs"/>
    <hyperlink ref="R101" r:id="rId200" display="Search"/>
    <hyperlink ref="P102" r:id="rId201" display="https://www.amnesty.eu/jobs/"/>
    <hyperlink ref="R102" r:id="rId202" display="Search"/>
    <hyperlink ref="P103" r:id="rId203" display="https://www.eapn.eu"/>
    <hyperlink ref="R103" r:id="rId204" display="Search"/>
    <hyperlink ref="P104" r:id="rId205" display="https://womenlobby.org"/>
    <hyperlink ref="R104" r:id="rId206" display="Search"/>
    <hyperlink ref="P105" r:id="rId207" display="https://www.fidh.org/en/get-involved/join-us/"/>
    <hyperlink ref="R105" r:id="rId208" display="Search"/>
    <hyperlink ref="P106" r:id="rId209" display="https://protectdefenders.eu"/>
    <hyperlink ref="R106" r:id="rId210" display="Search"/>
    <hyperlink ref="P107" r:id="rId211" display="https://www.amnesty.be"/>
    <hyperlink ref="R107" r:id="rId212" display="Search"/>
    <hyperlink ref="P108" r:id="rId213" display="https://www.enar-eu.org"/>
    <hyperlink ref="R108" r:id="rId214" display="Search"/>
    <hyperlink ref="P109" r:id="rId215" display="https://www.frontlinedefenders.org/en/vacancies"/>
    <hyperlink ref="R109" r:id="rId216" display="Search"/>
    <hyperlink ref="P110" r:id="rId217" display="https://www.hrw.org/careers"/>
    <hyperlink ref="R110" r:id="rId218" display="Search"/>
    <hyperlink ref="P111" r:id="rId219" display="https://www.ilga-europe.org/who-we-are/jobs/"/>
    <hyperlink ref="R111" r:id="rId220" display="Search"/>
    <hyperlink ref="P112" r:id="rId221" display="https://www.ippfen.org"/>
    <hyperlink ref="R112" r:id="rId222" display="Search"/>
    <hyperlink ref="P113" r:id="rId223" display="https://igvm-iefh.belgium.be"/>
    <hyperlink ref="R113" r:id="rId224" display="Search"/>
    <hyperlink ref="P114" r:id="rId225" display="https://www.omct.org"/>
    <hyperlink ref="R114" r:id="rId226" display="Search"/>
    <hyperlink ref="P115" r:id="rId227" display="https://www.opensocietyfoundations.org/careers"/>
    <hyperlink ref="R115" r:id="rId228" display="Search"/>
    <hyperlink ref="P116" r:id="rId229" display="https://rsf.org"/>
    <hyperlink ref="R116" r:id="rId230" display="Search"/>
    <hyperlink ref="P117" r:id="rId231" display="https://www.socialplatform.org"/>
    <hyperlink ref="R117" r:id="rId232" display="Search"/>
    <hyperlink ref="P118" r:id="rId233" display="https://www.viefeminine.be"/>
    <hyperlink ref="R118" r:id="rId234" display="Search"/>
    <hyperlink ref="P119" r:id="rId235" display="https://www.age-platform.eu"/>
    <hyperlink ref="R119" r:id="rId236" display="Search"/>
    <hyperlink ref="P120" r:id="rId237" display="https://amazone.be"/>
    <hyperlink ref="R120" r:id="rId238" display="Search"/>
    <hyperlink ref="P121" r:id="rId239" display="https://www.bepax.org"/>
    <hyperlink ref="R121" r:id="rId240" display="Search"/>
    <hyperlink ref="P122" r:id="rId241" display="https://ergonetwork.org"/>
    <hyperlink ref="R122" r:id="rId242" display="Search"/>
    <hyperlink ref="P123" r:id="rId243" display="https://equineteurope.org"/>
    <hyperlink ref="R123" r:id="rId244" display="Search"/>
    <hyperlink ref="P124" r:id="rId245" display="https://eurochild.org/vacancies/"/>
    <hyperlink ref="R124" r:id="rId246" display="Search"/>
    <hyperlink ref="P125" r:id="rId247" display="https://www.edf-feph.org"/>
    <hyperlink ref="R125" r:id="rId248" display="Search"/>
    <hyperlink ref="P126" r:id="rId249" display="http://www.errc.org"/>
    <hyperlink ref="R126" r:id="rId250" display="Search"/>
    <hyperlink ref="P127" r:id="rId251" display="https://www.feantsa.org"/>
    <hyperlink ref="R127" r:id="rId252" display="Search"/>
    <hyperlink ref="P128" r:id="rId253" display="https://www.fairtrials.org/jobs/"/>
    <hyperlink ref="R128" r:id="rId254" display="Search"/>
    <hyperlink ref="P129" r:id="rId255" display="https://www.globalwitness.org/en/jobs/"/>
    <hyperlink ref="R129" r:id="rId256" display="Search"/>
    <hyperlink ref="P130" r:id="rId257" display="https://www.mrax.be"/>
    <hyperlink ref="R130" r:id="rId258" display="Search"/>
    <hyperlink ref="P131" r:id="rId259" display="https://www.iom.int/careers"/>
    <hyperlink ref="R131" r:id="rId260" display="Search"/>
    <hyperlink ref="P132" r:id="rId261" display="https://www.nato.int/cps/en/natohq/recruitment.htm"/>
    <hyperlink ref="R132" r:id="rId262" display="Search"/>
    <hyperlink ref="P133" r:id="rId263" display="https://www.unhcr.org/careers"/>
    <hyperlink ref="R133" r:id="rId264" display="Search"/>
    <hyperlink ref="P134" r:id="rId265" display="https://www.icrc.org/en/careers"/>
    <hyperlink ref="R134" r:id="rId266" display="Search"/>
    <hyperlink ref="P135" r:id="rId267" display="https://www.ohchr.org/en/work-with-us"/>
    <hyperlink ref="R135" r:id="rId268" display="Search"/>
    <hyperlink ref="P136" r:id="rId269" display="https://www.unwomen.org/en/about-us/employment"/>
    <hyperlink ref="R136" r:id="rId270" display="Search"/>
    <hyperlink ref="P137" r:id="rId271" display="https://jobs.undp.org"/>
    <hyperlink ref="R137" r:id="rId272" display="Search"/>
    <hyperlink ref="P138" r:id="rId273" display="https://www.unicef.org/careers"/>
    <hyperlink ref="R138" r:id="rId274" display="Search"/>
    <hyperlink ref="P139" r:id="rId275" display="https://unric.org"/>
    <hyperlink ref="R139" r:id="rId276" display="Search"/>
    <hyperlink ref="P140" r:id="rId277" display="https://www.coe.int/en/web/jobs"/>
    <hyperlink ref="R140" r:id="rId278" display="Search"/>
    <hyperlink ref="P141" r:id="rId279" display="https://www.fao.org/employment"/>
    <hyperlink ref="R141" r:id="rId280" display="Search"/>
    <hyperlink ref="P142" r:id="rId281" display="https://www.ifrc.org/jobs"/>
    <hyperlink ref="R142" r:id="rId282" display="Search"/>
    <hyperlink ref="P143" r:id="rId283" display="https://www.ilo.org/brussels"/>
    <hyperlink ref="R143" r:id="rId284" display="Search"/>
    <hyperlink ref="P144" r:id="rId285" display="https://www.nato.int/cps/en/natohq/recruitment.htm"/>
    <hyperlink ref="R144" r:id="rId286" display="Search"/>
    <hyperlink ref="P145" r:id="rId287" display="https://www.unocha.org/careers"/>
    <hyperlink ref="R145" r:id="rId288" display="Search"/>
    <hyperlink ref="P146" r:id="rId289" display="https://careers.unesco.org"/>
    <hyperlink ref="R146" r:id="rId290" display="Search"/>
    <hyperlink ref="P147" r:id="rId291" display="https://www.unfpa.org/jobs"/>
    <hyperlink ref="R147" r:id="rId292" display="Search"/>
    <hyperlink ref="P148" r:id="rId293" display="https://www.wfp.org/careers"/>
    <hyperlink ref="R148" r:id="rId294" display="Search"/>
    <hyperlink ref="P149" r:id="rId295" display="https://www.worldbank.org/en/about/careers"/>
    <hyperlink ref="R149" r:id="rId296" display="Search"/>
    <hyperlink ref="P150" r:id="rId297" display="https://www.broederlijkdelen.be/nl/vacatures"/>
    <hyperlink ref="R150" r:id="rId298" display="Search"/>
    <hyperlink ref="P151" r:id="rId299" display="https://cifca.org"/>
    <hyperlink ref="R151" r:id="rId300" display="Search"/>
    <hyperlink ref="P152" r:id="rId301" display="https://embamex.sre.gob.mx/belgica/"/>
    <hyperlink ref="R152" r:id="rId302" display="Search"/>
    <hyperlink ref="P153" r:id="rId303" display="https://entraide.be"/>
    <hyperlink ref="R153" r:id="rId304" display="Search"/>
    <hyperlink ref="P154" r:id="rId305" display="https://www.mondefemmes.org"/>
    <hyperlink ref="R154" r:id="rId306" display="Search"/>
    <hyperlink ref="P155" r:id="rId307" display="https://www.gob.mx/sre"/>
    <hyperlink ref="R155" r:id="rId308" display="Search"/>
    <hyperlink ref="P156" r:id="rId309" display="https://www.oidhaco.org"/>
    <hyperlink ref="R156" r:id="rId310" display="Search"/>
    <hyperlink ref="P157" r:id="rId311" display="https://www.peacebrigades.org"/>
    <hyperlink ref="R157" r:id="rId312" display="Search"/>
    <hyperlink ref="P158" r:id="rId313" display="https://www.protectioninternational.org/vacancies/"/>
    <hyperlink ref="R158" r:id="rId314" display="Search"/>
    <hyperlink ref="P159" r:id="rId315" display="https://www.rikolto.org/jobs"/>
    <hyperlink ref="R159" r:id="rId316" display="Search"/>
    <hyperlink ref="P160" r:id="rId317" display="https://www.sosfaim.be"/>
    <hyperlink ref="R160" r:id="rId318" display="Search"/>
    <hyperlink ref="P161" r:id="rId319" display="https://www.wbi.be"/>
    <hyperlink ref="R161" r:id="rId320" display="Search"/>
    <hyperlink ref="P162" r:id="rId321" display="https://www.justicepaix.be"/>
    <hyperlink ref="R162" r:id="rId322" display="Search"/>
    <hyperlink ref="P163" r:id="rId323" display="https://eulacfoundation.org"/>
    <hyperlink ref="R163" r:id="rId324" display="Search"/>
    <hyperlink ref="P164" r:id="rId325" display="https://www.eclosio.ong"/>
    <hyperlink ref="R164" r:id="rId326" display="Search"/>
    <hyperlink ref="P165" r:id="rId327" display="https://www.fos.ngo"/>
    <hyperlink ref="R165" r:id="rId328" display="Search"/>
    <hyperlink ref="P166" r:id="rId329" display="https://www.ilesdepaix.org"/>
    <hyperlink ref="R166" r:id="rId330" display="Search"/>
    <hyperlink ref="P167" r:id="rId331" display="https://bruselas.cervantes.es"/>
    <hyperlink ref="R167" r:id="rId332" display="Search"/>
    <hyperlink ref="P168" r:id="rId333" display="https://www.louvaincooperation.org"/>
    <hyperlink ref="R168" r:id="rId334" display="Search"/>
    <hyperlink ref="P169" r:id="rId335" display="https://ebelg.cancilleria.gob.ar"/>
    <hyperlink ref="R169" r:id="rId336" display="Search"/>
    <hyperlink ref="P170" r:id="rId337" display="https://www.gov.br/mre/pt-br"/>
    <hyperlink ref="R170" r:id="rId338" display="Search"/>
    <hyperlink ref="P171" r:id="rId339" display="https://www.chile.gob.cl/belgica/"/>
    <hyperlink ref="R171" r:id="rId340" display="Search"/>
    <hyperlink ref="P172" r:id="rId341" display="https://belgica.embajada.gov.co"/>
    <hyperlink ref="R172" r:id="rId342" display="Search"/>
    <hyperlink ref="P173" r:id="rId343" display="https://www.gob.pe/rree"/>
    <hyperlink ref="R173" r:id="rId344" display="Search"/>
    <hyperlink ref="P174" r:id="rId345" display="https://www.quinoa.be"/>
    <hyperlink ref="R174" r:id="rId346" display="Search"/>
    <hyperlink ref="P175" r:id="rId347" display="https://www.trias.ngo"/>
    <hyperlink ref="R175" r:id="rId348" display="Search"/>
    <hyperlink ref="P176" r:id="rId349" display="https://www.fundacioncarolina.es"/>
    <hyperlink ref="R176" r:id="rId350" display="Search"/>
    <hyperlink ref="P177" r:id="rId351" display="https://www.realinstitutoelcano.org"/>
    <hyperlink ref="R177" r:id="rId352" display="Search"/>
    <hyperlink ref="P178" r:id="rId353" display="https://www.exteriores.gob.es/RepresentacionesPermanentes/EspanaUE"/>
    <hyperlink ref="R178" r:id="rId354" display="Search"/>
    <hyperlink ref="P179" r:id="rId355" display="https://www.vivasalud.be"/>
    <hyperlink ref="R179" r:id="rId356" display="Search"/>
    <hyperlink ref="P180" r:id="rId357" display="https://hub.brussels"/>
    <hyperlink ref="R180" r:id="rId358" display="Search"/>
    <hyperlink ref="P181" r:id="rId359" display="https://www.euractiv.com"/>
    <hyperlink ref="R181" r:id="rId360" display="Search"/>
    <hyperlink ref="P182" r:id="rId361" display="https://agenceurope.eu"/>
    <hyperlink ref="R182" r:id="rId362" display="Search"/>
    <hyperlink ref="P183" r:id="rId363" display="https://www.belga.be"/>
    <hyperlink ref="R183" r:id="rId364" display="Search"/>
    <hyperlink ref="P184" r:id="rId365" display="https://euobserver.com"/>
    <hyperlink ref="R184" r:id="rId366" display="Search"/>
    <hyperlink ref="P185" r:id="rId367" display="https://www.politico.eu/careers/"/>
    <hyperlink ref="R185" r:id="rId368" display="Search"/>
    <hyperlink ref="P186" r:id="rId369" display="https://www.rtbf.be"/>
    <hyperlink ref="R186" r:id="rId370" display="Search"/>
    <hyperlink ref="P187" r:id="rId371" display="https://www.brusselstimes.com"/>
    <hyperlink ref="R187" r:id="rId372" display="Search"/>
    <hyperlink ref="P188" r:id="rId373" display="https://www.vrt.be/nl/jobs/"/>
    <hyperlink ref="R188" r:id="rId374" display="Search"/>
    <hyperlink ref="P189" r:id="rId375" display="https://www.caritas.eu/jobs/"/>
    <hyperlink ref="R189" r:id="rId376" display="Search"/>
    <hyperlink ref="P190" r:id="rId377" display="https://ecre.org/vacancies/"/>
    <hyperlink ref="R190" r:id="rId378" display="Search"/>
    <hyperlink ref="P191" r:id="rId379" display="https://jrseurope.org/vacancies/"/>
    <hyperlink ref="R191" r:id="rId380" display="Search"/>
    <hyperlink ref="P192" r:id="rId381" display="https://www.migrationpolicy.org/about/careers"/>
    <hyperlink ref="R192" r:id="rId382" display="Search"/>
    <hyperlink ref="P193" r:id="rId383" display="https://picum.org/vacancies/"/>
    <hyperlink ref="R193" r:id="rId384" display="Search"/>
    <hyperlink ref="P194" r:id="rId385" display="https://bapa.brussels"/>
    <hyperlink ref="R194" r:id="rId386" display="Search"/>
    <hyperlink ref="P195" r:id="rId387" display="https://www.cgra.be"/>
    <hyperlink ref="R195" r:id="rId388" display="Search"/>
    <hyperlink ref="P196" r:id="rId389" display="https://www.cire.be"/>
    <hyperlink ref="R196" r:id="rId390" display="Search"/>
    <hyperlink ref="P197" r:id="rId391" display="https://www.caritasinternational.be"/>
    <hyperlink ref="R197" r:id="rId392" display="Search"/>
    <hyperlink ref="P198" r:id="rId393" display="https://www.convivial.be"/>
    <hyperlink ref="R198" r:id="rId394" display="Search"/>
    <hyperlink ref="P199" r:id="rId395" display="https://www.fedasil.be/en/jobs"/>
    <hyperlink ref="R199" r:id="rId396" display="Search"/>
    <hyperlink ref="P200" r:id="rId397" display="https://www.foyer.be"/>
    <hyperlink ref="R200" r:id="rId398" display="Search"/>
    <hyperlink ref="P201" r:id="rId399" display="https://www.icmpd.org/jobs"/>
    <hyperlink ref="R201" r:id="rId400" display="Search"/>
    <hyperlink ref="P202" r:id="rId401" display="https://www.myria.be"/>
    <hyperlink ref="R202" r:id="rId402" display="Search"/>
    <hyperlink ref="P203" r:id="rId403" display="https://www.bxlrefugees.be"/>
    <hyperlink ref="R203" r:id="rId404" display="Search"/>
    <hyperlink ref="P204" r:id="rId405" display="https://redcross.eu"/>
    <hyperlink ref="R204" r:id="rId406" display="Search"/>
    <hyperlink ref="P205" r:id="rId407" display="https://www.solidar.org"/>
    <hyperlink ref="R205" r:id="rId408" display="Search"/>
    <hyperlink ref="P206" r:id="rId409" display="https://www.unia.be"/>
    <hyperlink ref="R206" r:id="rId410" display="Search"/>
    <hyperlink ref="P207" r:id="rId411" display="https://www.integratie-inburgering.be"/>
    <hyperlink ref="R207" r:id="rId412" display="Search"/>
    <hyperlink ref="P208" r:id="rId413" display="https://ccme.eu"/>
    <hyperlink ref="R208" r:id="rId414" display="Search"/>
    <hyperlink ref="P209" r:id="rId415" display="https://home-affairs.ec.europa.eu/networks/european-migration-network_en"/>
    <hyperlink ref="R209" r:id="rId416" display="Search"/>
    <hyperlink ref="P210" r:id="rId417" display="https://www.statelessness.eu"/>
    <hyperlink ref="R210" r:id="rId418" display="Search"/>
    <hyperlink ref="P211" r:id="rId419" display="https://www.lastradainternational.org"/>
    <hyperlink ref="R211" r:id="rId420" display="Search"/>
    <hyperlink ref="P212" r:id="rId421" display="https://mentorescale.be"/>
    <hyperlink ref="R212" r:id="rId422" display="Search"/>
    <hyperlink ref="P213" r:id="rId423" display="https://missingchildreneurope.eu"/>
    <hyperlink ref="R213" r:id="rId424" display="Search"/>
    <hyperlink ref="P214" r:id="rId425" display="https://dofi.ibz.be"/>
    <hyperlink ref="R214" r:id="rId426" display="Search"/>
    <hyperlink ref="P215" r:id="rId427" display="https://www.vluchtelingenwerk.be/vacatures"/>
    <hyperlink ref="R215" r:id="rId428" display="Search"/>
    <hyperlink ref="P216" r:id="rId429" display="https://www.crisisgroup.org/careers"/>
    <hyperlink ref="R216" r:id="rId430" display="Search"/>
    <hyperlink ref="P217" r:id="rId431" display="https://paxchristi.net"/>
    <hyperlink ref="R217" r:id="rId432" display="Search"/>
    <hyperlink ref="P218" r:id="rId433" display="https://www.sfcg.org/careers/"/>
    <hyperlink ref="R218" r:id="rId434" display="Search"/>
    <hyperlink ref="P219" r:id="rId435" display="https://eplo.org"/>
    <hyperlink ref="R219" r:id="rId436" display="Search"/>
    <hyperlink ref="P220" r:id="rId437" display="https://www.iss.europa.eu"/>
    <hyperlink ref="R220" r:id="rId438" display="Search"/>
    <hyperlink ref="P221" r:id="rId439" display="https://grip.org"/>
    <hyperlink ref="R221" r:id="rId440" display="Search"/>
    <hyperlink ref="P222" r:id="rId441" display="https://www.international-alert.org/jobs/"/>
    <hyperlink ref="R222" r:id="rId442" display="Search"/>
    <hyperlink ref="P223" r:id="rId443" display="https://nonviolentpeaceforce.org/careers/"/>
    <hyperlink ref="R223" r:id="rId444" display="Search"/>
    <hyperlink ref="P224" r:id="rId445" display="https://www.saferworld.org.uk/jobs"/>
    <hyperlink ref="R224" r:id="rId446" display="Search"/>
    <hyperlink ref="P225" r:id="rId447" display="https://blomeyer.eu"/>
    <hyperlink ref="R225" r:id="rId448" display="Search"/>
    <hyperlink ref="P226" r:id="rId449" display="https://www.ecorys.com/careers/"/>
    <hyperlink ref="R226" r:id="rId450" display="Search"/>
    <hyperlink ref="P227" r:id="rId451" display="https://www.icf.com/careers"/>
    <hyperlink ref="R227" r:id="rId452" display="Search"/>
    <hyperlink ref="P228" r:id="rId453" display="https://www.ipsos.com/en-be/careers"/>
    <hyperlink ref="R228" r:id="rId454" display="Search"/>
    <hyperlink ref="P229" r:id="rId455" display="https://www.technopolis-group.com/careers/"/>
    <hyperlink ref="R229" r:id="rId456" display="Search"/>
    <hyperlink ref="P230" r:id="rId457" display="https://www.veriangroup.com/careers"/>
    <hyperlink ref="R230" r:id="rId458" display="Search"/>
    <hyperlink ref="P231" r:id="rId459" display="https://open-evidence.com"/>
    <hyperlink ref="R231" r:id="rId460" display="Search"/>
    <hyperlink ref="P232" r:id="rId461" display="https://ppmi.lt/careers"/>
    <hyperlink ref="R232" r:id="rId462" display="Search"/>
    <hyperlink ref="P233" r:id="rId463" display="https://www.particip.de"/>
    <hyperlink ref="R233" r:id="rId464" display="Search"/>
    <hyperlink ref="P234" r:id="rId465" display="https://www.prospex-institute.org"/>
    <hyperlink ref="R234" r:id="rId466" display="Search"/>
    <hyperlink ref="P235" r:id="rId467" display="https://www.ramboll.com/careers"/>
    <hyperlink ref="R235" r:id="rId468" display="Search"/>
    <hyperlink ref="P236" r:id="rId469" display="https://www.tetratech.com/careers/"/>
    <hyperlink ref="R236" r:id="rId470" display="Search"/>
    <hyperlink ref="P237" r:id="rId471" display="https://www.vva.it"/>
    <hyperlink ref="R237" r:id="rId472" display="Search"/>
    <hyperlink ref="P238" r:id="rId473" display="https://cses.co.uk"/>
    <hyperlink ref="R238" r:id="rId474" display="Search"/>
    <hyperlink ref="P239" r:id="rId475" display="https://www.deloitte.com/be/en/careers.html"/>
    <hyperlink ref="R239" r:id="rId476" display="Search"/>
    <hyperlink ref="P240" r:id="rId477" display="https://www.ey.com/en_be/careers"/>
    <hyperlink ref="R240" r:id="rId478" display="Search"/>
    <hyperlink ref="P241" r:id="rId479" display="https://www.empirica.com"/>
    <hyperlink ref="R241" r:id="rId480" display="Search"/>
    <hyperlink ref="P242" r:id="rId481" display="https://www.fondazionebrodolini.it"/>
    <hyperlink ref="R242" r:id="rId482" display="Search"/>
    <hyperlink ref="P243" r:id="rId483" display="https://www.icon-institute.de"/>
    <hyperlink ref="R243" r:id="rId484" display="Search"/>
    <hyperlink ref="P244" r:id="rId485" display="https://www.milieu.be"/>
    <hyperlink ref="R244" r:id="rId486" display="Search"/>
    <hyperlink ref="P245" r:id="rId487" display="https://trinomics.eu/vacancies/"/>
    <hyperlink ref="R245" r:id="rId488" display="Search"/>
    <hyperlink ref="P246" r:id="rId489" display="https://visionary.lt"/>
    <hyperlink ref="R246" r:id="rId490" display="Search"/>
    <hyperlink ref="P247" r:id="rId491" display="https://brussels.fes.de"/>
    <hyperlink ref="R247" r:id="rId492" display="Search"/>
    <hyperlink ref="P248" r:id="rId493" display="https://eu.boell.org"/>
    <hyperlink ref="R248" r:id="rId494" display="Search"/>
    <hyperlink ref="P249" r:id="rId495" display="https://www.centreavec.be"/>
    <hyperlink ref="R249" r:id="rId496" display="Search"/>
    <hyperlink ref="P250" r:id="rId497" display="https://www.egmontinstitute.be"/>
    <hyperlink ref="R250" r:id="rId498" display="Search"/>
    <hyperlink ref="P251" r:id="rId499" display="https://feps-europe.eu/vacancies/"/>
    <hyperlink ref="R251" r:id="rId500" display="Search"/>
    <hyperlink ref="P252" r:id="rId501" display="https://www.friendsofeurope.org"/>
    <hyperlink ref="R252" r:id="rId502" display="Search"/>
    <hyperlink ref="P253" r:id="rId503" display="https://www.kas.de/en/web/bruessel-eu"/>
    <hyperlink ref="R253" r:id="rId504" display="Search"/>
    <hyperlink ref="P254" r:id="rId505" display="https://www.rosalux.eu"/>
    <hyperlink ref="R254" r:id="rId506" display="Search"/>
    <hyperlink ref="P255" r:id="rId507" display="https://www.bruegel.org/vacancies"/>
    <hyperlink ref="R255" r:id="rId508" display="Search"/>
    <hyperlink ref="P256" r:id="rId509" display="https://www.ceps.eu/about-ceps/jobs/"/>
    <hyperlink ref="R256" r:id="rId510" display="Search"/>
    <hyperlink ref="P257" r:id="rId511" display="https://carnegieendowment.org/about/employment"/>
    <hyperlink ref="R257" r:id="rId512" display="Search"/>
    <hyperlink ref="P258" r:id="rId513" display="https://ecfr.eu/jobs/"/>
    <hyperlink ref="R258" r:id="rId514" display="Search"/>
    <hyperlink ref="P259" r:id="rId515" display="https://etopia.be"/>
    <hyperlink ref="R259" r:id="rId516" display="Search"/>
    <hyperlink ref="P260" r:id="rId517" display="https://www.epc.eu"/>
    <hyperlink ref="R260" r:id="rId518" display="Search"/>
    <hyperlink ref="P261" r:id="rId519" display="https://europe.fnst.org"/>
    <hyperlink ref="R261" r:id="rId520" display="Search"/>
    <hyperlink ref="P262" r:id="rId521" display="https://www.gmfus.org/careers"/>
    <hyperlink ref="R262" r:id="rId522" display="Search"/>
    <hyperlink ref="P263" r:id="rId523" display="https://gef.eu"/>
    <hyperlink ref="R263" r:id="rId524" display="Search"/>
    <hyperlink ref="P264" r:id="rId525" display="https://www.iev.be"/>
    <hyperlink ref="R264" r:id="rId526" display="Search"/>
    <hyperlink ref="P265" r:id="rId527" display="https://institutdelors.eu"/>
    <hyperlink ref="R265" r:id="rId528" display="Search"/>
    <hyperlink ref="P266" r:id="rId529" display="https://www.transform-network.net"/>
    <hyperlink ref="R266" r:id="rId530" display="Search"/>
    <hyperlink ref="P267" r:id="rId531" display="https://www.martenscentre.eu"/>
    <hyperlink ref="R267" r:id="rId532" display="Search"/>
    <hyperlink ref="P268" r:id="rId533" display="https://cordis.europa.eu/projects"/>
    <hyperlink ref="R268" r:id="rId534" display="Search"/>
    <hyperlink ref="P269" r:id="rId535" display="https://euraxess.ec.europa.eu/jobs/search"/>
    <hyperlink ref="R269" r:id="rId536" display="Search"/>
    <hyperlink ref="P270" r:id="rId537" display="https://www.kuleuven.be/personeel/jobsite/"/>
    <hyperlink ref="R270" r:id="rId538" display="Search"/>
    <hyperlink ref="P271" r:id="rId539" display="https://www.migratiemuseummigration.be"/>
    <hyperlink ref="R271" r:id="rId540" display="Search"/>
    <hyperlink ref="P272" r:id="rId541" display="https://www.ulb.be/en/jobs"/>
    <hyperlink ref="R272" r:id="rId542" display="Search"/>
    <hyperlink ref="P273" r:id="rId543" display="https://www.uantwerpen.be/en/jobs/"/>
    <hyperlink ref="R273" r:id="rId544" display="Search"/>
    <hyperlink ref="P274" r:id="rId545" display="https://www.vub.be/en/jobs"/>
    <hyperlink ref="R274" r:id="rId546" display="Search"/>
    <hyperlink ref="P275" r:id="rId547" display="https://www.africamuseum.be/en/about_us/jobs"/>
    <hyperlink ref="R275" r:id="rId548" display="Search"/>
    <hyperlink ref="P276" r:id="rId549" display="https://www.coleurope.eu/careers"/>
    <hyperlink ref="R276" r:id="rId550" display="Search"/>
    <hyperlink ref="P277" r:id="rId551" display="https://www.ugent.be/en/work"/>
    <hyperlink ref="R277" r:id="rId552" display="Search"/>
    <hyperlink ref="P278" r:id="rId553" display="https://uclouvain.be/en/jobs"/>
    <hyperlink ref="R278" r:id="rId554" display="Search"/>
    <hyperlink ref="P279" r:id="rId555" display="https://www.bozar.be/en/jobs"/>
    <hyperlink ref="R279" r:id="rId556" display="Search"/>
    <hyperlink ref="P280" r:id="rId557" display="https://www.ihecs.be"/>
    <hyperlink ref="R280" r:id="rId558" display="Search"/>
    <hyperlink ref="P281" r:id="rId559" display="https://kanal.brussels"/>
    <hyperlink ref="R281" r:id="rId560" display="Search"/>
    <hyperlink ref="P282" r:id="rId561" display="https://www.redstarline.be"/>
    <hyperlink ref="R282" r:id="rId562" display="Search"/>
    <hyperlink ref="P283" r:id="rId563" display="https://uclouvain.be/en/jobs"/>
    <hyperlink ref="R283" r:id="rId564" display="Sear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6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6" min="6" style="0" width="8"/>
  </cols>
  <sheetData>
    <row r="2" customFormat="false" ht="17.35" hidden="false" customHeight="false" outlineLevel="0" collapsed="false">
      <c r="B2" s="1" t="s">
        <v>1145</v>
      </c>
    </row>
    <row r="4" customFormat="false" ht="15" hidden="false" customHeight="false" outlineLevel="0" collapsed="false">
      <c r="B4" s="9" t="s">
        <v>1146</v>
      </c>
      <c r="C4" s="9" t="s">
        <v>1147</v>
      </c>
      <c r="D4" s="9" t="s">
        <v>1148</v>
      </c>
      <c r="E4" s="9" t="s">
        <v>1149</v>
      </c>
      <c r="F4" s="9" t="s">
        <v>1150</v>
      </c>
    </row>
    <row r="5" customFormat="false" ht="45.75" hidden="false" customHeight="true" outlineLevel="0" collapsed="false">
      <c r="B5" s="20" t="s">
        <v>1151</v>
      </c>
      <c r="C5" s="11" t="s">
        <v>1152</v>
      </c>
      <c r="D5" s="10" t="s">
        <v>1153</v>
      </c>
      <c r="E5" s="14" t="s">
        <v>430</v>
      </c>
      <c r="F5" s="21"/>
    </row>
    <row r="6" customFormat="false" ht="45.75" hidden="false" customHeight="true" outlineLevel="0" collapsed="false">
      <c r="B6" s="10" t="s">
        <v>1151</v>
      </c>
      <c r="C6" s="11" t="s">
        <v>1154</v>
      </c>
      <c r="D6" s="10" t="s">
        <v>1155</v>
      </c>
      <c r="E6" s="14" t="s">
        <v>1156</v>
      </c>
      <c r="F6" s="21"/>
    </row>
    <row r="7" customFormat="false" ht="45.75" hidden="false" customHeight="true" outlineLevel="0" collapsed="false">
      <c r="B7" s="10" t="s">
        <v>1151</v>
      </c>
      <c r="C7" s="11" t="s">
        <v>1157</v>
      </c>
      <c r="D7" s="10" t="s">
        <v>1158</v>
      </c>
      <c r="E7" s="10"/>
      <c r="F7" s="21"/>
    </row>
    <row r="8" customFormat="false" ht="45.75" hidden="false" customHeight="true" outlineLevel="0" collapsed="false">
      <c r="B8" s="20" t="s">
        <v>1159</v>
      </c>
      <c r="C8" s="11" t="s">
        <v>1160</v>
      </c>
      <c r="D8" s="10" t="s">
        <v>1161</v>
      </c>
      <c r="E8" s="14" t="s">
        <v>341</v>
      </c>
      <c r="F8" s="21"/>
    </row>
    <row r="9" customFormat="false" ht="45.75" hidden="false" customHeight="true" outlineLevel="0" collapsed="false">
      <c r="B9" s="10" t="s">
        <v>1162</v>
      </c>
      <c r="C9" s="11" t="s">
        <v>1163</v>
      </c>
      <c r="D9" s="10" t="s">
        <v>1164</v>
      </c>
      <c r="E9" s="14" t="s">
        <v>341</v>
      </c>
      <c r="F9" s="21"/>
    </row>
    <row r="10" customFormat="false" ht="45.75" hidden="false" customHeight="true" outlineLevel="0" collapsed="false">
      <c r="B10" s="20" t="s">
        <v>1165</v>
      </c>
      <c r="C10" s="11" t="s">
        <v>1166</v>
      </c>
      <c r="D10" s="10" t="s">
        <v>1167</v>
      </c>
      <c r="E10" s="14" t="s">
        <v>341</v>
      </c>
      <c r="F10" s="21"/>
    </row>
    <row r="11" customFormat="false" ht="45.75" hidden="false" customHeight="true" outlineLevel="0" collapsed="false">
      <c r="B11" s="10" t="s">
        <v>1168</v>
      </c>
      <c r="C11" s="11" t="s">
        <v>1169</v>
      </c>
      <c r="D11" s="10" t="s">
        <v>1170</v>
      </c>
      <c r="E11" s="14" t="s">
        <v>75</v>
      </c>
      <c r="F11" s="21"/>
    </row>
    <row r="12" customFormat="false" ht="45.75" hidden="false" customHeight="true" outlineLevel="0" collapsed="false">
      <c r="B12" s="10" t="s">
        <v>1171</v>
      </c>
      <c r="C12" s="11" t="s">
        <v>1172</v>
      </c>
      <c r="D12" s="10" t="s">
        <v>1173</v>
      </c>
      <c r="E12" s="10"/>
      <c r="F12" s="21"/>
    </row>
    <row r="13" customFormat="false" ht="45.75" hidden="false" customHeight="true" outlineLevel="0" collapsed="false">
      <c r="B13" s="10" t="s">
        <v>1171</v>
      </c>
      <c r="C13" s="11" t="s">
        <v>1174</v>
      </c>
      <c r="D13" s="10" t="s">
        <v>1175</v>
      </c>
      <c r="E13" s="10"/>
      <c r="F13" s="21"/>
    </row>
    <row r="14" customFormat="false" ht="45.75" hidden="false" customHeight="true" outlineLevel="0" collapsed="false">
      <c r="B14" s="10" t="s">
        <v>1176</v>
      </c>
      <c r="C14" s="11" t="s">
        <v>1177</v>
      </c>
      <c r="D14" s="10" t="s">
        <v>1178</v>
      </c>
      <c r="E14" s="14" t="s">
        <v>1179</v>
      </c>
      <c r="F14" s="21"/>
    </row>
    <row r="15" customFormat="false" ht="45.75" hidden="false" customHeight="true" outlineLevel="0" collapsed="false">
      <c r="B15" s="10" t="s">
        <v>1180</v>
      </c>
      <c r="C15" s="11" t="s">
        <v>1181</v>
      </c>
      <c r="D15" s="10" t="s">
        <v>1182</v>
      </c>
      <c r="E15" s="14" t="s">
        <v>430</v>
      </c>
      <c r="F15" s="21"/>
    </row>
    <row r="16" customFormat="false" ht="45.75" hidden="false" customHeight="true" outlineLevel="0" collapsed="false">
      <c r="B16" s="10" t="s">
        <v>1183</v>
      </c>
      <c r="C16" s="11" t="s">
        <v>1184</v>
      </c>
      <c r="D16" s="10" t="s">
        <v>1185</v>
      </c>
      <c r="E16" s="14" t="s">
        <v>430</v>
      </c>
      <c r="F16" s="21"/>
    </row>
  </sheetData>
  <hyperlinks>
    <hyperlink ref="E5" r:id="rId1" display="https://eu-careers.europa.eu"/>
    <hyperlink ref="E6" r:id="rId2" display="https://www.linkedin.com"/>
    <hyperlink ref="E8" r:id="rId3" display="https://traineeships.ec.europa.eu"/>
    <hyperlink ref="E9" r:id="rId4" display="https://traineeships.ec.europa.eu"/>
    <hyperlink ref="E10" r:id="rId5" display="https://traineeships.ec.europa.eu"/>
    <hyperlink ref="E11" r:id="rId6" display="https://www.werkenvoor.be"/>
    <hyperlink ref="E14" r:id="rId7" display="https://www.eeas.europa.eu"/>
    <hyperlink ref="E15" r:id="rId8" display="https://eu-careers.europa.eu"/>
    <hyperlink ref="E16" r:id="rId9" display="https://eu-careers.europa.e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56"/>
    <col collapsed="false" customWidth="true" hidden="false" outlineLevel="0" max="5" min="5" style="0" width="14"/>
    <col collapsed="false" customWidth="true" hidden="false" outlineLevel="0" max="6" min="6" style="0" width="10"/>
  </cols>
  <sheetData>
    <row r="2" customFormat="false" ht="17.35" hidden="false" customHeight="false" outlineLevel="0" collapsed="false">
      <c r="B2" s="1" t="s">
        <v>1186</v>
      </c>
    </row>
    <row r="4" customFormat="false" ht="15" hidden="false" customHeight="false" outlineLevel="0" collapsed="false">
      <c r="B4" s="9" t="s">
        <v>1187</v>
      </c>
      <c r="C4" s="9" t="s">
        <v>1149</v>
      </c>
      <c r="D4" s="9" t="s">
        <v>1188</v>
      </c>
      <c r="E4" s="9" t="s">
        <v>1189</v>
      </c>
      <c r="F4" s="9" t="s">
        <v>14</v>
      </c>
    </row>
    <row r="5" customFormat="false" ht="31.5" hidden="false" customHeight="true" outlineLevel="0" collapsed="false">
      <c r="B5" s="11" t="s">
        <v>1190</v>
      </c>
      <c r="C5" s="14" t="s">
        <v>1191</v>
      </c>
      <c r="D5" s="10" t="s">
        <v>1192</v>
      </c>
      <c r="E5" s="21"/>
      <c r="F5" s="13" t="s">
        <v>68</v>
      </c>
    </row>
    <row r="6" customFormat="false" ht="31.5" hidden="false" customHeight="true" outlineLevel="0" collapsed="false">
      <c r="B6" s="11" t="s">
        <v>1193</v>
      </c>
      <c r="C6" s="14" t="s">
        <v>1194</v>
      </c>
      <c r="D6" s="10" t="s">
        <v>1195</v>
      </c>
      <c r="E6" s="21"/>
      <c r="F6" s="13" t="s">
        <v>68</v>
      </c>
    </row>
    <row r="7" customFormat="false" ht="31.5" hidden="false" customHeight="true" outlineLevel="0" collapsed="false">
      <c r="B7" s="11" t="s">
        <v>1196</v>
      </c>
      <c r="C7" s="14" t="s">
        <v>1197</v>
      </c>
      <c r="D7" s="10" t="s">
        <v>1198</v>
      </c>
      <c r="E7" s="21"/>
      <c r="F7" s="13" t="s">
        <v>58</v>
      </c>
    </row>
    <row r="8" customFormat="false" ht="31.5" hidden="false" customHeight="true" outlineLevel="0" collapsed="false">
      <c r="B8" s="11" t="s">
        <v>1199</v>
      </c>
      <c r="C8" s="14" t="s">
        <v>1200</v>
      </c>
      <c r="D8" s="10" t="s">
        <v>1201</v>
      </c>
      <c r="E8" s="21"/>
      <c r="F8" s="13" t="s">
        <v>58</v>
      </c>
    </row>
    <row r="9" customFormat="false" ht="31.5" hidden="false" customHeight="true" outlineLevel="0" collapsed="false">
      <c r="B9" s="11" t="s">
        <v>1202</v>
      </c>
      <c r="C9" s="14" t="s">
        <v>430</v>
      </c>
      <c r="D9" s="10" t="s">
        <v>1203</v>
      </c>
      <c r="E9" s="21"/>
      <c r="F9" s="13" t="s">
        <v>68</v>
      </c>
    </row>
    <row r="10" customFormat="false" ht="31.5" hidden="false" customHeight="true" outlineLevel="0" collapsed="false">
      <c r="B10" s="11" t="s">
        <v>1204</v>
      </c>
      <c r="C10" s="14" t="s">
        <v>341</v>
      </c>
      <c r="D10" s="10" t="s">
        <v>1205</v>
      </c>
      <c r="E10" s="21"/>
      <c r="F10" s="13" t="s">
        <v>68</v>
      </c>
    </row>
    <row r="11" customFormat="false" ht="31.5" hidden="false" customHeight="true" outlineLevel="0" collapsed="false">
      <c r="B11" s="11" t="s">
        <v>1206</v>
      </c>
      <c r="C11" s="14" t="s">
        <v>1207</v>
      </c>
      <c r="D11" s="10" t="s">
        <v>1208</v>
      </c>
      <c r="E11" s="21"/>
      <c r="F11" s="13" t="s">
        <v>68</v>
      </c>
    </row>
    <row r="12" customFormat="false" ht="31.5" hidden="false" customHeight="true" outlineLevel="0" collapsed="false">
      <c r="B12" s="11" t="s">
        <v>1209</v>
      </c>
      <c r="C12" s="14" t="s">
        <v>1210</v>
      </c>
      <c r="D12" s="10" t="s">
        <v>1211</v>
      </c>
      <c r="E12" s="21"/>
      <c r="F12" s="13" t="s">
        <v>68</v>
      </c>
    </row>
    <row r="13" customFormat="false" ht="31.5" hidden="false" customHeight="true" outlineLevel="0" collapsed="false">
      <c r="B13" s="11" t="s">
        <v>1212</v>
      </c>
      <c r="C13" s="14" t="s">
        <v>1213</v>
      </c>
      <c r="D13" s="10" t="s">
        <v>1214</v>
      </c>
      <c r="E13" s="21"/>
      <c r="F13" s="13" t="s">
        <v>68</v>
      </c>
    </row>
    <row r="14" customFormat="false" ht="31.5" hidden="false" customHeight="true" outlineLevel="0" collapsed="false">
      <c r="B14" s="11" t="s">
        <v>1215</v>
      </c>
      <c r="C14" s="14" t="s">
        <v>217</v>
      </c>
      <c r="D14" s="10" t="s">
        <v>1216</v>
      </c>
      <c r="E14" s="21"/>
      <c r="F14" s="13" t="s">
        <v>68</v>
      </c>
    </row>
    <row r="15" customFormat="false" ht="31.5" hidden="false" customHeight="true" outlineLevel="0" collapsed="false">
      <c r="B15" s="11" t="s">
        <v>1217</v>
      </c>
      <c r="C15" s="14" t="s">
        <v>1218</v>
      </c>
      <c r="D15" s="10" t="s">
        <v>1219</v>
      </c>
      <c r="E15" s="21"/>
      <c r="F15" s="13" t="s">
        <v>58</v>
      </c>
    </row>
    <row r="16" customFormat="false" ht="31.5" hidden="false" customHeight="true" outlineLevel="0" collapsed="false">
      <c r="B16" s="11" t="s">
        <v>1220</v>
      </c>
      <c r="C16" s="14" t="s">
        <v>1221</v>
      </c>
      <c r="D16" s="10" t="s">
        <v>1222</v>
      </c>
      <c r="E16" s="21"/>
      <c r="F16" s="13" t="s">
        <v>58</v>
      </c>
    </row>
    <row r="17" customFormat="false" ht="31.5" hidden="false" customHeight="true" outlineLevel="0" collapsed="false">
      <c r="B17" s="11" t="s">
        <v>1223</v>
      </c>
      <c r="C17" s="14" t="s">
        <v>1224</v>
      </c>
      <c r="D17" s="10" t="s">
        <v>1225</v>
      </c>
      <c r="E17" s="21"/>
      <c r="F17" s="13" t="s">
        <v>58</v>
      </c>
    </row>
    <row r="18" customFormat="false" ht="31.5" hidden="false" customHeight="true" outlineLevel="0" collapsed="false">
      <c r="B18" s="11" t="s">
        <v>1226</v>
      </c>
      <c r="C18" s="14" t="s">
        <v>1227</v>
      </c>
      <c r="D18" s="10" t="s">
        <v>1228</v>
      </c>
      <c r="E18" s="21"/>
      <c r="F18" s="13" t="s">
        <v>58</v>
      </c>
    </row>
    <row r="19" customFormat="false" ht="31.5" hidden="false" customHeight="true" outlineLevel="0" collapsed="false">
      <c r="B19" s="11" t="s">
        <v>1229</v>
      </c>
      <c r="C19" s="14" t="s">
        <v>1081</v>
      </c>
      <c r="D19" s="10" t="s">
        <v>1230</v>
      </c>
      <c r="E19" s="21"/>
      <c r="F19" s="13" t="s">
        <v>58</v>
      </c>
    </row>
    <row r="20" customFormat="false" ht="31.5" hidden="false" customHeight="true" outlineLevel="0" collapsed="false">
      <c r="B20" s="11" t="s">
        <v>1231</v>
      </c>
      <c r="C20" s="14" t="s">
        <v>1078</v>
      </c>
      <c r="D20" s="10" t="s">
        <v>1232</v>
      </c>
      <c r="E20" s="21"/>
      <c r="F20" s="13" t="s">
        <v>58</v>
      </c>
    </row>
    <row r="21" customFormat="false" ht="31.5" hidden="false" customHeight="true" outlineLevel="0" collapsed="false">
      <c r="B21" s="11" t="s">
        <v>1233</v>
      </c>
      <c r="C21" s="14" t="s">
        <v>1234</v>
      </c>
      <c r="D21" s="10" t="s">
        <v>1235</v>
      </c>
      <c r="E21" s="21"/>
      <c r="F21" s="13" t="s">
        <v>58</v>
      </c>
    </row>
    <row r="22" customFormat="false" ht="31.5" hidden="false" customHeight="true" outlineLevel="0" collapsed="false">
      <c r="B22" s="11" t="s">
        <v>1236</v>
      </c>
      <c r="C22" s="14" t="s">
        <v>1237</v>
      </c>
      <c r="D22" s="10" t="s">
        <v>1238</v>
      </c>
      <c r="E22" s="21"/>
      <c r="F22" s="13" t="s">
        <v>58</v>
      </c>
    </row>
    <row r="23" customFormat="false" ht="31.5" hidden="false" customHeight="true" outlineLevel="0" collapsed="false">
      <c r="B23" s="11" t="s">
        <v>1239</v>
      </c>
      <c r="C23" s="14" t="s">
        <v>1240</v>
      </c>
      <c r="D23" s="10" t="s">
        <v>1241</v>
      </c>
      <c r="E23" s="21"/>
      <c r="F23" s="13" t="s">
        <v>58</v>
      </c>
    </row>
    <row r="24" customFormat="false" ht="31.5" hidden="false" customHeight="true" outlineLevel="0" collapsed="false">
      <c r="B24" s="11" t="s">
        <v>70</v>
      </c>
      <c r="C24" s="14" t="s">
        <v>75</v>
      </c>
      <c r="D24" s="10" t="s">
        <v>1242</v>
      </c>
      <c r="E24" s="21"/>
      <c r="F24" s="13" t="s">
        <v>58</v>
      </c>
    </row>
    <row r="25" customFormat="false" ht="31.5" hidden="false" customHeight="true" outlineLevel="0" collapsed="false">
      <c r="B25" s="11" t="s">
        <v>109</v>
      </c>
      <c r="C25" s="14" t="s">
        <v>113</v>
      </c>
      <c r="D25" s="10" t="s">
        <v>1243</v>
      </c>
      <c r="E25" s="21"/>
      <c r="F25" s="13" t="s">
        <v>58</v>
      </c>
    </row>
    <row r="26" customFormat="false" ht="31.5" hidden="false" customHeight="true" outlineLevel="0" collapsed="false">
      <c r="B26" s="11" t="s">
        <v>77</v>
      </c>
      <c r="C26" s="14" t="s">
        <v>82</v>
      </c>
      <c r="D26" s="10" t="s">
        <v>1244</v>
      </c>
      <c r="E26" s="21"/>
      <c r="F26" s="13" t="s">
        <v>58</v>
      </c>
    </row>
    <row r="27" customFormat="false" ht="31.5" hidden="false" customHeight="true" outlineLevel="0" collapsed="false">
      <c r="B27" s="11" t="s">
        <v>1245</v>
      </c>
      <c r="C27" s="14" t="s">
        <v>595</v>
      </c>
      <c r="D27" s="10" t="s">
        <v>1246</v>
      </c>
      <c r="E27" s="21"/>
      <c r="F27" s="13" t="s">
        <v>58</v>
      </c>
    </row>
    <row r="28" customFormat="false" ht="31.5" hidden="false" customHeight="true" outlineLevel="0" collapsed="false">
      <c r="B28" s="11" t="s">
        <v>1247</v>
      </c>
      <c r="C28" s="14" t="s">
        <v>1248</v>
      </c>
      <c r="D28" s="10" t="s">
        <v>1249</v>
      </c>
      <c r="E28" s="21"/>
      <c r="F28" s="13" t="s">
        <v>58</v>
      </c>
    </row>
    <row r="29" customFormat="false" ht="31.5" hidden="false" customHeight="true" outlineLevel="0" collapsed="false">
      <c r="B29" s="11" t="s">
        <v>1250</v>
      </c>
      <c r="C29" s="14" t="s">
        <v>1251</v>
      </c>
      <c r="D29" s="10" t="s">
        <v>1252</v>
      </c>
      <c r="E29" s="21"/>
      <c r="F29" s="13" t="s">
        <v>58</v>
      </c>
    </row>
    <row r="30" customFormat="false" ht="31.5" hidden="false" customHeight="true" outlineLevel="0" collapsed="false">
      <c r="B30" s="11" t="s">
        <v>1253</v>
      </c>
      <c r="C30" s="14" t="s">
        <v>1254</v>
      </c>
      <c r="D30" s="10" t="s">
        <v>1255</v>
      </c>
      <c r="E30" s="21"/>
      <c r="F30" s="13" t="s">
        <v>58</v>
      </c>
    </row>
    <row r="31" customFormat="false" ht="31.5" hidden="false" customHeight="true" outlineLevel="0" collapsed="false">
      <c r="B31" s="11" t="s">
        <v>1256</v>
      </c>
      <c r="C31" s="14" t="s">
        <v>1257</v>
      </c>
      <c r="D31" s="10" t="s">
        <v>1258</v>
      </c>
      <c r="E31" s="21"/>
      <c r="F31" s="13" t="s">
        <v>58</v>
      </c>
    </row>
  </sheetData>
  <dataValidations count="1">
    <dataValidation allowBlank="true" errorStyle="stop" operator="between" showDropDown="false" showErrorMessage="false" showInputMessage="false" sqref="F5:F31" type="list">
      <formula1>"Yes,No"</formula1>
      <formula2>0</formula2>
    </dataValidation>
  </dataValidations>
  <hyperlinks>
    <hyperlink ref="C5" r:id="rId1" display="https://www.eurobrussels.com"/>
    <hyperlink ref="C6" r:id="rId2" display="https://jobs.euractiv.com"/>
    <hyperlink ref="C7" r:id="rId3" display="https://jobsin.brussels"/>
    <hyperlink ref="C8" r:id="rId4" display="https://jobs.humanrightscareers.com"/>
    <hyperlink ref="C9" r:id="rId5" display="https://eu-careers.europa.eu"/>
    <hyperlink ref="C10" r:id="rId6" display="https://traineeships.ec.europa.eu"/>
    <hyperlink ref="C11" r:id="rId7" display="https://www.eujobs.co"/>
    <hyperlink ref="C12" r:id="rId8" display="https://www.devex.com"/>
    <hyperlink ref="C13" r:id="rId9" display="https://www.impactpool.org"/>
    <hyperlink ref="C14" r:id="rId10" display="https://www.linkedin.com/jobs"/>
    <hyperlink ref="C15" r:id="rId11" display="https://untalent.org"/>
    <hyperlink ref="C16" r:id="rId12" display="https://trustedjobs.eu"/>
    <hyperlink ref="C17" r:id="rId13" display="https://eujobsalert.com"/>
    <hyperlink ref="C18" r:id="rId14" display="https://www.brusselsjobs.com"/>
    <hyperlink ref="C19" r:id="rId15" display="https://euraxess.ec.europa.eu/jobs/search"/>
    <hyperlink ref="C20" r:id="rId16" display="https://cordis.europa.eu/projects"/>
    <hyperlink ref="C21" r:id="rId17" display="https://www.guidesocial.be"/>
    <hyperlink ref="C22" r:id="rId18" display="https://www.jobat.be"/>
    <hyperlink ref="C23" r:id="rId19" display="https://references.lesoir.be"/>
    <hyperlink ref="C24" r:id="rId20" display="https://www.werkenvoor.be"/>
    <hyperlink ref="C25" r:id="rId21" display="https://talent.brussels"/>
    <hyperlink ref="C26" r:id="rId22" display="https://www.actiris.brussels"/>
    <hyperlink ref="C27" r:id="rId23" display="https://www.nato.int/cps/en/natohq/recruitment.htm"/>
    <hyperlink ref="C28" r:id="rId24" display="https://www.europarl.europa.eu"/>
    <hyperlink ref="C29" r:id="rId25" display="https://reliefweb.int/jobs"/>
    <hyperlink ref="C30" r:id="rId26" display="https://www.idealist.org"/>
    <hyperlink ref="C31" r:id="rId27" display="https://thebeubble.substack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2026-07-16T19:26:00Z</dcterms:created>
  <dc:creator>openpyxl</dc:creator>
  <dc:description/>
  <dc:language>en-US</dc:language>
  <cp:lastModifiedBy/>
  <dcterms:modified xsi:type="dcterms:W3CDTF">2026-07-16T19:26:00Z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